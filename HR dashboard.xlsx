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7.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8.xml" ContentType="application/vnd.openxmlformats-officedocument.themeOverrid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doaad\Documents\DEPI Power bi develober\Excel final project\"/>
    </mc:Choice>
  </mc:AlternateContent>
  <xr:revisionPtr revIDLastSave="0" documentId="13_ncr:1_{88F45D86-B132-478C-B215-4032EB369CB4}" xr6:coauthVersionLast="47" xr6:coauthVersionMax="47" xr10:uidLastSave="{00000000-0000-0000-0000-000000000000}"/>
  <bookViews>
    <workbookView xWindow="-120" yWindow="-120" windowWidth="29040" windowHeight="15720" xr2:uid="{5BF637A4-13F8-404A-B9C6-BB512D61B56D}"/>
  </bookViews>
  <sheets>
    <sheet name="Dashboard" sheetId="1" r:id="rId1"/>
    <sheet name="Data" sheetId="2" r:id="rId2"/>
    <sheet name="Pivot tables" sheetId="3" r:id="rId3"/>
  </sheets>
  <definedNames>
    <definedName name="Slicer_Department">#N/A</definedName>
    <definedName name="Slicer_Gender">#N/A</definedName>
  </definedNames>
  <calcPr calcId="191029"/>
  <pivotCaches>
    <pivotCache cacheId="2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7" i="3" l="1"/>
  <c r="R16" i="3"/>
  <c r="R15" i="3"/>
  <c r="R14" i="3"/>
  <c r="R13" i="3"/>
  <c r="H32" i="3"/>
  <c r="H31" i="3"/>
  <c r="H30" i="3"/>
  <c r="H29" i="3"/>
  <c r="H28" i="3"/>
  <c r="G22" i="3"/>
  <c r="G21" i="3"/>
  <c r="G20" i="3"/>
  <c r="G19" i="3"/>
  <c r="G18" i="3"/>
  <c r="C33" i="3"/>
  <c r="C32" i="3"/>
  <c r="C31" i="3"/>
  <c r="C30" i="3"/>
  <c r="C29" i="3"/>
  <c r="O19" i="3"/>
  <c r="O18" i="3"/>
  <c r="O17" i="3"/>
  <c r="J26" i="3"/>
  <c r="J25" i="3"/>
  <c r="J22" i="3"/>
  <c r="J21" i="3"/>
  <c r="J20" i="3"/>
  <c r="J19" i="3"/>
  <c r="J18" i="3"/>
  <c r="F22" i="3"/>
  <c r="F21" i="3"/>
  <c r="F20" i="3"/>
  <c r="F19" i="3"/>
  <c r="F18" i="3"/>
  <c r="C15" i="3"/>
  <c r="C16" i="3"/>
  <c r="C14" i="3"/>
  <c r="R18" i="3" l="1"/>
  <c r="G23" i="3"/>
  <c r="H33" i="3"/>
  <c r="J23" i="3"/>
  <c r="I29" i="3"/>
  <c r="J29" i="3" s="1"/>
  <c r="J27" i="3"/>
  <c r="I30" i="3"/>
  <c r="J30" i="3" s="1"/>
  <c r="N23" i="3"/>
  <c r="O23" i="3" s="1"/>
  <c r="O20" i="3"/>
  <c r="N24" i="3"/>
  <c r="O24" i="3" s="1"/>
  <c r="N25" i="3"/>
  <c r="O25" i="3" s="1"/>
  <c r="C34" i="3"/>
  <c r="C17" i="3"/>
  <c r="F23" i="3"/>
</calcChain>
</file>

<file path=xl/sharedStrings.xml><?xml version="1.0" encoding="utf-8"?>
<sst xmlns="http://schemas.openxmlformats.org/spreadsheetml/2006/main" count="876" uniqueCount="230">
  <si>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</si>
  <si>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</si>
  <si>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</si>
  <si>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</si>
  <si>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</si>
  <si>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</si>
  <si>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</si>
  <si>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</si>
  <si>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</si>
  <si>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</si>
  <si>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</si>
  <si>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</si>
  <si>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</si>
  <si>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</si>
  <si>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</si>
  <si>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</si>
  <si>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</si>
  <si>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</si>
  <si>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</si>
  <si>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</si>
  <si>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</si>
  <si>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</si>
  <si>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</si>
  <si>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</si>
  <si>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</si>
  <si>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</si>
  <si>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</si>
  <si>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</si>
  <si>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</si>
  <si>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</si>
  <si>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</si>
  <si>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</si>
  <si>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</si>
  <si>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</si>
  <si>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</si>
  <si>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</si>
  <si>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</si>
  <si>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</si>
  <si>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</si>
  <si>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</si>
  <si>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</si>
  <si>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</si>
  <si>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</si>
  <si>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</si>
  <si>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</si>
  <si>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</si>
  <si>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</si>
  <si>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</si>
  <si>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</si>
  <si>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</si>
  <si>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</si>
  <si>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</si>
  <si>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</si>
  <si>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</si>
  <si>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</si>
  <si>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</si>
  <si>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</si>
  <si>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</si>
  <si>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</si>
  <si>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</si>
  <si>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</si>
  <si>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</si>
  <si>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</si>
  <si>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</si>
  <si>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</si>
  <si>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</si>
  <si>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</si>
  <si>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</si>
  <si>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</si>
  <si>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</si>
  <si>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</si>
  <si>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</si>
  <si>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</si>
  <si>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</si>
  <si>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</si>
  <si>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</si>
  <si>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</si>
  <si>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</si>
  <si>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</si>
  <si>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</si>
  <si>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</si>
  <si>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</si>
  <si>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</si>
  <si>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</si>
  <si>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</si>
  <si>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</si>
  <si>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</si>
  <si>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</si>
  <si>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</si>
  <si>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</si>
  <si>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</si>
  <si>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</si>
  <si>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</si>
  <si>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</si>
  <si>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</si>
  <si>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</si>
  <si>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</si>
  <si>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</si>
  <si>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</si>
  <si>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</si>
  <si>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</si>
  <si>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</si>
  <si>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</si>
  <si>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</si>
  <si>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</si>
  <si>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</si>
  <si>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</si>
  <si>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</si>
  <si>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</si>
  <si>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</si>
  <si>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</si>
  <si>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</si>
  <si>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</si>
  <si>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</si>
  <si>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</si>
  <si>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</si>
  <si>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</si>
  <si>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</si>
  <si>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</si>
  <si>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</si>
  <si>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</si>
  <si>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</si>
  <si>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</si>
  <si>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</si>
  <si>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</si>
  <si>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</si>
  <si>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</si>
  <si>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</si>
  <si>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</si>
  <si>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</si>
  <si>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</si>
  <si>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</si>
  <si>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</si>
  <si>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</si>
  <si>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</si>
  <si>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</si>
  <si>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</si>
  <si>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</si>
  <si>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</si>
  <si>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</si>
  <si>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</si>
  <si>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</si>
  <si>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</si>
  <si>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</si>
  <si>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</si>
  <si>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</si>
  <si>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</si>
  <si>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</si>
  <si>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</si>
  <si>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</si>
  <si>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</si>
  <si>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</si>
  <si>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</si>
  <si>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</si>
  <si>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</si>
  <si>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</si>
  <si>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</si>
  <si>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</si>
  <si>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</si>
  <si>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</si>
  <si>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</si>
  <si>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</si>
  <si>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</si>
  <si>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</si>
  <si>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</si>
  <si>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</si>
  <si>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</si>
  <si>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</si>
  <si>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</si>
  <si>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</si>
  <si>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</si>
  <si>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</si>
  <si>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</si>
  <si>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</si>
  <si>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</si>
  <si>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</si>
  <si>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</si>
  <si>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</si>
  <si>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</si>
  <si>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</si>
  <si>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</si>
  <si>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</si>
  <si>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</si>
  <si>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</si>
  <si>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</si>
  <si>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</si>
  <si>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</si>
  <si>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</si>
  <si>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</si>
  <si>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</si>
  <si>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</si>
  <si>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</si>
  <si>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</si>
  <si>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</si>
  <si>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</si>
  <si>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</si>
  <si>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</si>
  <si>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</si>
  <si>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</si>
  <si>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</si>
  <si>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</si>
  <si>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</si>
  <si>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</si>
  <si>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</si>
  <si>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</si>
  <si>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</si>
  <si>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</si>
  <si>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</si>
  <si>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</si>
  <si>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</si>
  <si>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</si>
  <si>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</si>
  <si>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</si>
  <si>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</si>
  <si>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</si>
  <si>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</si>
  <si>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</si>
  <si>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Number of employees to employment status</t>
  </si>
  <si>
    <t>Total</t>
  </si>
  <si>
    <t>Sum of Salary</t>
  </si>
  <si>
    <t xml:space="preserve">Total </t>
  </si>
  <si>
    <t xml:space="preserve">Salaries to departements </t>
  </si>
  <si>
    <t>Column Labels</t>
  </si>
  <si>
    <t xml:space="preserve">Age range to gender </t>
  </si>
  <si>
    <t>Workplace</t>
  </si>
  <si>
    <t xml:space="preserve">Skills </t>
  </si>
  <si>
    <t>Sum of Leave Taken</t>
  </si>
  <si>
    <t>Regions</t>
  </si>
  <si>
    <t>Departments</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</si>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</sst>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5" formatCode="_-* #,##0_-;\-* #,##0_-;_-* &quot;-&quot;??_-;_-@_-"/>
    <numFmt numFmtId="174" formatCode="0.0"/>
  </numFmts>
  <fonts count="8">
    <font>
      <sz val="11"/>
      <color theme="1"/>
      <name val="Aptos Narrow"/>
      <family val="2"/>
      <charset val="178"/>
      <scheme val="minor"/>
    </font>
    <font>
      <sz val="11"/>
      <color theme="1"/>
      <name val="Aptos Narrow"/>
      <family val="2"/>
      <charset val="178"/>
      <scheme val="minor"/>
    </font>
    <font>
      <sz val="11"/>
      <color theme="0"/>
      <name val="Aptos Narrow"/>
      <family val="2"/>
      <charset val="178"/>
      <scheme val="minor"/>
    </font>
    <font>
      <sz val="11"/>
      <color theme="1"/>
      <name val="Kulim park"/>
      <charset val="178"/>
    </font>
    <font>
      <b/>
      <sz val="11"/>
      <color theme="0" tint="-4.9989318521683403E-2"/>
      <name val="Kulim Park"/>
    </font>
    <font>
      <sz val="11"/>
      <color theme="1"/>
      <name val="Kulim Park"/>
    </font>
    <font>
      <sz val="11"/>
      <color theme="0" tint="-4.9989318521683403E-2"/>
      <name val="Kulim Park"/>
    </font>
    <font>
      <sz val="11"/>
      <color theme="0"/>
      <name val="Kulim park"/>
      <charset val="178"/>
    </font>
  </fonts>
  <fills count="4">
    <fill>
      <patternFill patternType="none"/>
    </fill>
    <fill>
      <patternFill patternType="gray125"/>
    </fill>
    <fill>
      <patternFill patternType="solid">
        <fgColor rgb="FF0A3459"/>
        <bgColor indexed="64"/>
      </patternFill>
    </fill>
    <fill>
      <patternFill patternType="solid">
        <fgColor rgb="FF282828"/>
        <bgColor indexed="64"/>
      </patternFill>
    </fill>
  </fills>
  <borders count="2">
    <border>
      <left/>
      <right/>
      <top/>
      <bottom/>
      <diagonal/>
    </border>
    <border>
      <left/>
      <right/>
      <top style="thin">
        <color theme="1" tint="0.499984740745262"/>
      </top>
      <bottom style="thin">
        <color theme="1" tint="0.499984740745262"/>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0" fontId="3" fillId="0" borderId="0" xfId="0" applyFont="1"/>
    <xf numFmtId="0" fontId="3" fillId="2" borderId="0" xfId="0" applyFont="1" applyFill="1"/>
    <xf numFmtId="0" fontId="4" fillId="3" borderId="0" xfId="0" applyFont="1" applyFill="1" applyAlignment="1">
      <alignment horizontal="center" vertical="center"/>
    </xf>
    <xf numFmtId="0" fontId="5" fillId="0" borderId="0" xfId="0" applyFont="1" applyAlignment="1">
      <alignment horizontal="center" vertical="center"/>
    </xf>
    <xf numFmtId="0" fontId="6" fillId="3"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2" fillId="2" borderId="0" xfId="0" applyFont="1" applyFill="1" applyAlignment="1">
      <alignment horizontal="center" vertical="center"/>
    </xf>
    <xf numFmtId="0" fontId="3" fillId="0" borderId="0" xfId="0" pivotButton="1" applyFont="1"/>
    <xf numFmtId="0" fontId="3" fillId="0" borderId="0" xfId="0" applyFont="1" applyAlignment="1">
      <alignment horizontal="left"/>
    </xf>
    <xf numFmtId="0" fontId="3" fillId="0" borderId="0" xfId="0" applyNumberFormat="1" applyFont="1"/>
    <xf numFmtId="0" fontId="7" fillId="2" borderId="0" xfId="0" applyFont="1" applyFill="1" applyAlignment="1">
      <alignment horizontal="center" vertical="center"/>
    </xf>
    <xf numFmtId="165" fontId="3" fillId="0" borderId="0" xfId="1" applyNumberFormat="1" applyFont="1"/>
    <xf numFmtId="9" fontId="3" fillId="0" borderId="0" xfId="2" applyFont="1"/>
    <xf numFmtId="9" fontId="0" fillId="0" borderId="0" xfId="0" applyNumberFormat="1"/>
    <xf numFmtId="9" fontId="3" fillId="0" borderId="0" xfId="0" applyNumberFormat="1" applyFont="1"/>
    <xf numFmtId="0" fontId="5" fillId="0" borderId="0" xfId="0" pivotButton="1" applyFont="1"/>
    <xf numFmtId="0" fontId="5" fillId="0" borderId="0" xfId="0" applyFont="1"/>
    <xf numFmtId="0" fontId="5" fillId="0" borderId="0" xfId="0" applyFont="1" applyAlignment="1">
      <alignment horizontal="left"/>
    </xf>
    <xf numFmtId="0" fontId="5" fillId="0" borderId="0" xfId="0" applyNumberFormat="1" applyFont="1"/>
    <xf numFmtId="165" fontId="5" fillId="0" borderId="0" xfId="0" applyNumberFormat="1" applyFont="1"/>
    <xf numFmtId="165" fontId="0" fillId="0" borderId="0" xfId="0" applyNumberFormat="1"/>
    <xf numFmtId="174" fontId="3" fillId="0" borderId="0" xfId="0" applyNumberFormat="1" applyFont="1"/>
    <xf numFmtId="174" fontId="5" fillId="0" borderId="0" xfId="0" applyNumberFormat="1" applyFont="1"/>
  </cellXfs>
  <cellStyles count="3">
    <cellStyle name="Comma" xfId="1" builtinId="3"/>
    <cellStyle name="Normal" xfId="0" builtinId="0"/>
    <cellStyle name="Percent" xfId="2" builtinId="5"/>
  </cellStyles>
  <dxfs count="901">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font>
    </dxf>
    <dxf>
      <font>
        <name val="Kulim park"/>
      </font>
    </dxf>
    <dxf>
      <font>
        <name val="Kulim park"/>
      </font>
    </dxf>
    <dxf>
      <font>
        <name val="Kulim park"/>
      </font>
    </dxf>
    <dxf>
      <font>
        <name val="Kulim park"/>
      </font>
    </dxf>
    <dxf>
      <font>
        <name val="Kulim park"/>
      </font>
    </dxf>
    <dxf>
      <numFmt numFmtId="165" formatCode="_-* #,##0_-;\-* #,##0_-;_-* &quot;-&quot;??_-;_-@_-"/>
    </dxf>
    <dxf>
      <font>
        <sz val="10"/>
        <color theme="1"/>
        <name val="Kermit Semibold"/>
        <family val="2"/>
        <scheme val="none"/>
      </font>
      <fill>
        <patternFill>
          <bgColor rgb="FF0F4C83"/>
        </patternFill>
      </fill>
    </dxf>
    <dxf>
      <font>
        <name val="Kermit Semibold"/>
        <family val="2"/>
        <scheme val="none"/>
      </font>
      <fill>
        <patternFill>
          <bgColor rgb="FF056CAB"/>
        </patternFill>
      </fill>
      <border diagonalUp="0" diagonalDown="0">
        <left/>
        <right/>
        <top/>
        <bottom/>
        <vertical/>
        <horizontal/>
      </border>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74" formatCode="0.0"/>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font>
        <name val="Kulim park"/>
        <charset val="178"/>
        <scheme val="none"/>
      </font>
    </dxf>
    <dxf>
      <numFmt numFmtId="165" formatCode="_-* #,##0_-;\-* #,##0_-;_-* &quot;-&quot;??_-;_-@_-"/>
    </dxf>
    <dxf>
      <font>
        <name val="Kulim park"/>
      </font>
    </dxf>
    <dxf>
      <font>
        <name val="Kulim park"/>
      </font>
    </dxf>
    <dxf>
      <font>
        <name val="Kulim park"/>
      </font>
    </dxf>
    <dxf>
      <font>
        <name val="Kulim park"/>
      </font>
    </dxf>
    <dxf>
      <font>
        <name val="Kulim park"/>
      </font>
    </dxf>
    <dxf>
      <font>
        <name val="Kulim park"/>
      </font>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s>
  <tableStyles count="4" defaultTableStyle="TableStyleMedium2" defaultPivotStyle="PivotStyleLight16">
    <tableStyle name="Invisible" pivot="0" table="0" count="0" xr9:uid="{7F4B79AF-12A6-428A-B3AD-20563F7EBD0B}"/>
    <tableStyle name="Slicer Style 1" pivot="0" table="0" count="0" xr9:uid="{3DE96313-31F4-4B2A-BBA1-77B41571E766}"/>
    <tableStyle name="Slicer Style 2" pivot="0" table="0" count="1" xr9:uid="{3F51D0D2-786E-41B3-85F0-70E6E1A3BEC6}">
      <tableStyleElement type="wholeTable" dxfId="841"/>
    </tableStyle>
    <tableStyle name="Slicer Style 3" pivot="0" table="0" count="4" xr9:uid="{454E5549-14BF-4C07-9FB6-479747236D76}">
      <tableStyleElement type="wholeTable" dxfId="840"/>
    </tableStyle>
  </tableStyles>
  <colors>
    <mruColors>
      <color rgb="FFF2B279"/>
      <color rgb="FF0F4C83"/>
      <color rgb="FF056CAB"/>
      <color rgb="FFED8855"/>
      <color rgb="FF6DE1D5"/>
      <color rgb="FF29C9BA"/>
      <color rgb="FF0A3459"/>
      <color rgb="FF045E96"/>
      <color rgb="FF041626"/>
      <color rgb="FF04588C"/>
    </mruColors>
  </colors>
  <extLst>
    <ext xmlns:x14="http://schemas.microsoft.com/office/spreadsheetml/2009/9/main" uri="{46F421CA-312F-682f-3DD2-61675219B42D}">
      <x14:dxfs count="3">
        <dxf>
          <font>
            <b val="0"/>
            <i val="0"/>
            <sz val="11"/>
            <color theme="1"/>
            <name val="Kermit Semibold"/>
            <family val="2"/>
            <scheme val="none"/>
          </font>
          <fill>
            <patternFill>
              <bgColor rgb="FFFFC000"/>
            </patternFill>
          </fill>
        </dxf>
        <dxf>
          <font>
            <color theme="1"/>
            <name val="Kermit Semibold"/>
            <family val="2"/>
            <scheme val="none"/>
          </font>
          <fill>
            <patternFill>
              <bgColor rgb="FF056CAB"/>
            </patternFill>
          </fill>
        </dxf>
        <dxf>
          <font>
            <b val="0"/>
            <i val="0"/>
            <sz val="10"/>
            <color theme="1"/>
          </font>
          <fill>
            <patternFill>
              <bgColor rgb="FFFFC00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1150734257391385E-2"/>
          <c:y val="0.10506902152897972"/>
          <c:w val="0.96884926574260866"/>
          <c:h val="0.83792380165154834"/>
        </c:manualLayout>
      </c:layout>
      <c:pieChart>
        <c:varyColors val="1"/>
        <c:ser>
          <c:idx val="0"/>
          <c:order val="0"/>
          <c:spPr>
            <a:ln w="31750">
              <a:solidFill>
                <a:srgbClr val="056CAB"/>
              </a:solidFill>
            </a:ln>
          </c:spPr>
          <c:explosion val="1"/>
          <c:dPt>
            <c:idx val="0"/>
            <c:bubble3D val="0"/>
            <c:spPr>
              <a:solidFill>
                <a:srgbClr val="6DE1D5"/>
              </a:solidFill>
              <a:ln w="31750">
                <a:solidFill>
                  <a:srgbClr val="056CAB"/>
                </a:solidFill>
              </a:ln>
              <a:effectLst/>
            </c:spPr>
            <c:extLst>
              <c:ext xmlns:c16="http://schemas.microsoft.com/office/drawing/2014/chart" uri="{C3380CC4-5D6E-409C-BE32-E72D297353CC}">
                <c16:uniqueId val="{00000001-3408-4142-8371-4EE9EBA373A6}"/>
              </c:ext>
            </c:extLst>
          </c:dPt>
          <c:dPt>
            <c:idx val="1"/>
            <c:bubble3D val="0"/>
            <c:spPr>
              <a:solidFill>
                <a:srgbClr val="F2B279"/>
              </a:solidFill>
              <a:ln w="31750">
                <a:solidFill>
                  <a:srgbClr val="056CAB"/>
                </a:solidFill>
              </a:ln>
              <a:effectLst/>
            </c:spPr>
            <c:extLst>
              <c:ext xmlns:c16="http://schemas.microsoft.com/office/drawing/2014/chart" uri="{C3380CC4-5D6E-409C-BE32-E72D297353CC}">
                <c16:uniqueId val="{00000003-3408-4142-8371-4EE9EBA373A6}"/>
              </c:ext>
            </c:extLst>
          </c:dPt>
          <c:dPt>
            <c:idx val="2"/>
            <c:bubble3D val="0"/>
            <c:spPr>
              <a:solidFill>
                <a:srgbClr val="0A3459"/>
              </a:solidFill>
              <a:ln w="31750">
                <a:solidFill>
                  <a:srgbClr val="056CAB"/>
                </a:solidFill>
              </a:ln>
              <a:effectLst/>
            </c:spPr>
            <c:extLst>
              <c:ext xmlns:c16="http://schemas.microsoft.com/office/drawing/2014/chart" uri="{C3380CC4-5D6E-409C-BE32-E72D297353CC}">
                <c16:uniqueId val="{00000005-3408-4142-8371-4EE9EBA373A6}"/>
              </c:ext>
            </c:extLst>
          </c:dPt>
          <c:cat>
            <c:strRef>
              <c:f>'Pivot tables'!$B$14:$B$16</c:f>
              <c:strCache>
                <c:ptCount val="3"/>
                <c:pt idx="0">
                  <c:v>Contract</c:v>
                </c:pt>
                <c:pt idx="1">
                  <c:v>Full-Time</c:v>
                </c:pt>
                <c:pt idx="2">
                  <c:v>Part-Time</c:v>
                </c:pt>
              </c:strCache>
            </c:strRef>
          </c:cat>
          <c:val>
            <c:numRef>
              <c:f>'Pivot tables'!$C$14:$C$16</c:f>
              <c:numCache>
                <c:formatCode>General</c:formatCode>
                <c:ptCount val="3"/>
                <c:pt idx="0">
                  <c:v>17</c:v>
                </c:pt>
                <c:pt idx="1">
                  <c:v>20</c:v>
                </c:pt>
                <c:pt idx="2">
                  <c:v>13</c:v>
                </c:pt>
              </c:numCache>
            </c:numRef>
          </c:val>
          <c:extLst>
            <c:ext xmlns:c16="http://schemas.microsoft.com/office/drawing/2014/chart" uri="{C3380CC4-5D6E-409C-BE32-E72D297353CC}">
              <c16:uniqueId val="{00000006-3408-4142-8371-4EE9EBA373A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 dashboard.xlsx]Pivot tables!Age range</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2B279"/>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F2B279"/>
                  </a:solidFill>
                  <a:latin typeface="Kulim park"/>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A3459"/>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A3459"/>
                  </a:solidFill>
                  <a:latin typeface="Kulim park"/>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296010296010296E-2"/>
          <c:y val="6.1111111111111109E-2"/>
          <c:w val="0.96911196911196906"/>
          <c:h val="0.81000962379702535"/>
        </c:manualLayout>
      </c:layout>
      <c:barChart>
        <c:barDir val="col"/>
        <c:grouping val="clustered"/>
        <c:varyColors val="0"/>
        <c:ser>
          <c:idx val="0"/>
          <c:order val="0"/>
          <c:tx>
            <c:strRef>
              <c:f>'Pivot tables'!$J$5:$J$6</c:f>
              <c:strCache>
                <c:ptCount val="1"/>
                <c:pt idx="0">
                  <c:v>Female</c:v>
                </c:pt>
              </c:strCache>
            </c:strRef>
          </c:tx>
          <c:spPr>
            <a:solidFill>
              <a:srgbClr val="F2B279"/>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F2B279"/>
                    </a:solidFill>
                    <a:latin typeface="Kulim park"/>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tables'!$I$7:$I$12</c:f>
              <c:strCache>
                <c:ptCount val="5"/>
                <c:pt idx="0">
                  <c:v>18-25</c:v>
                </c:pt>
                <c:pt idx="1">
                  <c:v>26-35</c:v>
                </c:pt>
                <c:pt idx="2">
                  <c:v>36-45</c:v>
                </c:pt>
                <c:pt idx="3">
                  <c:v>46-55</c:v>
                </c:pt>
                <c:pt idx="4">
                  <c:v>56 &lt;</c:v>
                </c:pt>
              </c:strCache>
            </c:strRef>
          </c:cat>
          <c:val>
            <c:numRef>
              <c:f>'Pivot tables'!$J$7:$J$12</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ED9F-41A6-AD41-0A8118A08028}"/>
            </c:ext>
          </c:extLst>
        </c:ser>
        <c:ser>
          <c:idx val="1"/>
          <c:order val="1"/>
          <c:tx>
            <c:strRef>
              <c:f>'Pivot tables'!$K$5:$K$6</c:f>
              <c:strCache>
                <c:ptCount val="1"/>
                <c:pt idx="0">
                  <c:v>Male</c:v>
                </c:pt>
              </c:strCache>
            </c:strRef>
          </c:tx>
          <c:spPr>
            <a:solidFill>
              <a:srgbClr val="0A3459"/>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0A3459"/>
                    </a:solidFill>
                    <a:latin typeface="Kulim park"/>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tables'!$I$7:$I$12</c:f>
              <c:strCache>
                <c:ptCount val="5"/>
                <c:pt idx="0">
                  <c:v>18-25</c:v>
                </c:pt>
                <c:pt idx="1">
                  <c:v>26-35</c:v>
                </c:pt>
                <c:pt idx="2">
                  <c:v>36-45</c:v>
                </c:pt>
                <c:pt idx="3">
                  <c:v>46-55</c:v>
                </c:pt>
                <c:pt idx="4">
                  <c:v>56 &lt;</c:v>
                </c:pt>
              </c:strCache>
            </c:strRef>
          </c:cat>
          <c:val>
            <c:numRef>
              <c:f>'Pivot tables'!$K$7:$K$12</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1-ED9F-41A6-AD41-0A8118A08028}"/>
            </c:ext>
          </c:extLst>
        </c:ser>
        <c:dLbls>
          <c:dLblPos val="outEnd"/>
          <c:showLegendKey val="0"/>
          <c:showVal val="1"/>
          <c:showCatName val="0"/>
          <c:showSerName val="0"/>
          <c:showPercent val="0"/>
          <c:showBubbleSize val="0"/>
        </c:dLbls>
        <c:gapWidth val="219"/>
        <c:overlap val="-27"/>
        <c:axId val="416824623"/>
        <c:axId val="416881263"/>
      </c:barChart>
      <c:catAx>
        <c:axId val="41682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Kulim park"/>
                <a:ea typeface="+mn-ea"/>
                <a:cs typeface="+mn-cs"/>
              </a:defRPr>
            </a:pPr>
            <a:endParaRPr lang="en-US"/>
          </a:p>
        </c:txPr>
        <c:crossAx val="416881263"/>
        <c:crosses val="autoZero"/>
        <c:auto val="1"/>
        <c:lblAlgn val="ctr"/>
        <c:lblOffset val="100"/>
        <c:noMultiLvlLbl val="0"/>
      </c:catAx>
      <c:valAx>
        <c:axId val="416881263"/>
        <c:scaling>
          <c:orientation val="minMax"/>
        </c:scaling>
        <c:delete val="1"/>
        <c:axPos val="l"/>
        <c:numFmt formatCode="General" sourceLinked="1"/>
        <c:majorTickMark val="none"/>
        <c:minorTickMark val="none"/>
        <c:tickLblPos val="nextTo"/>
        <c:crossAx val="41682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Kulim park"/>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percentStacked"/>
        <c:varyColors val="0"/>
        <c:ser>
          <c:idx val="0"/>
          <c:order val="0"/>
          <c:spPr>
            <a:solidFill>
              <a:srgbClr val="0A3459"/>
            </a:solidFill>
            <a:ln>
              <a:noFill/>
            </a:ln>
            <a:effectLst/>
          </c:spPr>
          <c:invertIfNegative val="0"/>
          <c:val>
            <c:numRef>
              <c:f>'Pivot tables'!$N$23</c:f>
              <c:numCache>
                <c:formatCode>0%</c:formatCode>
                <c:ptCount val="1"/>
                <c:pt idx="0">
                  <c:v>0.46</c:v>
                </c:pt>
              </c:numCache>
            </c:numRef>
          </c:val>
          <c:extLst>
            <c:ext xmlns:c16="http://schemas.microsoft.com/office/drawing/2014/chart" uri="{C3380CC4-5D6E-409C-BE32-E72D297353CC}">
              <c16:uniqueId val="{00000000-55F3-4511-86CC-CE7BFE80FBFD}"/>
            </c:ext>
          </c:extLst>
        </c:ser>
        <c:ser>
          <c:idx val="1"/>
          <c:order val="1"/>
          <c:spPr>
            <a:solidFill>
              <a:srgbClr val="F2B279"/>
            </a:solidFill>
            <a:ln>
              <a:noFill/>
            </a:ln>
            <a:effectLst/>
          </c:spPr>
          <c:invertIfNegative val="0"/>
          <c:val>
            <c:numRef>
              <c:f>'Pivot tables'!$O$23</c:f>
              <c:numCache>
                <c:formatCode>0%</c:formatCode>
                <c:ptCount val="1"/>
                <c:pt idx="0">
                  <c:v>0.54</c:v>
                </c:pt>
              </c:numCache>
            </c:numRef>
          </c:val>
          <c:extLst>
            <c:ext xmlns:c16="http://schemas.microsoft.com/office/drawing/2014/chart" uri="{C3380CC4-5D6E-409C-BE32-E72D297353CC}">
              <c16:uniqueId val="{00000001-55F3-4511-86CC-CE7BFE80FBFD}"/>
            </c:ext>
          </c:extLst>
        </c:ser>
        <c:dLbls>
          <c:showLegendKey val="0"/>
          <c:showVal val="0"/>
          <c:showCatName val="0"/>
          <c:showSerName val="0"/>
          <c:showPercent val="0"/>
          <c:showBubbleSize val="0"/>
        </c:dLbls>
        <c:gapWidth val="150"/>
        <c:overlap val="100"/>
        <c:axId val="165259231"/>
        <c:axId val="167888559"/>
      </c:barChart>
      <c:catAx>
        <c:axId val="165259231"/>
        <c:scaling>
          <c:orientation val="minMax"/>
        </c:scaling>
        <c:delete val="1"/>
        <c:axPos val="l"/>
        <c:majorTickMark val="none"/>
        <c:minorTickMark val="none"/>
        <c:tickLblPos val="nextTo"/>
        <c:crossAx val="167888559"/>
        <c:crosses val="autoZero"/>
        <c:auto val="1"/>
        <c:lblAlgn val="ctr"/>
        <c:lblOffset val="100"/>
        <c:noMultiLvlLbl val="0"/>
      </c:catAx>
      <c:valAx>
        <c:axId val="167888559"/>
        <c:scaling>
          <c:orientation val="minMax"/>
        </c:scaling>
        <c:delete val="1"/>
        <c:axPos val="b"/>
        <c:numFmt formatCode="0%" sourceLinked="1"/>
        <c:majorTickMark val="none"/>
        <c:minorTickMark val="none"/>
        <c:tickLblPos val="nextTo"/>
        <c:crossAx val="16525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percentStacked"/>
        <c:varyColors val="0"/>
        <c:ser>
          <c:idx val="0"/>
          <c:order val="0"/>
          <c:spPr>
            <a:solidFill>
              <a:srgbClr val="0A3459"/>
            </a:solidFill>
            <a:ln>
              <a:noFill/>
            </a:ln>
            <a:effectLst/>
          </c:spPr>
          <c:invertIfNegative val="0"/>
          <c:val>
            <c:numRef>
              <c:f>'Pivot tables'!$N$24</c:f>
              <c:numCache>
                <c:formatCode>0%</c:formatCode>
                <c:ptCount val="1"/>
                <c:pt idx="0">
                  <c:v>0.16</c:v>
                </c:pt>
              </c:numCache>
            </c:numRef>
          </c:val>
          <c:extLst>
            <c:ext xmlns:c16="http://schemas.microsoft.com/office/drawing/2014/chart" uri="{C3380CC4-5D6E-409C-BE32-E72D297353CC}">
              <c16:uniqueId val="{00000000-108C-4DB6-BB7F-4EB8CC2E972D}"/>
            </c:ext>
          </c:extLst>
        </c:ser>
        <c:ser>
          <c:idx val="1"/>
          <c:order val="1"/>
          <c:spPr>
            <a:solidFill>
              <a:srgbClr val="F2B279"/>
            </a:solidFill>
            <a:ln>
              <a:noFill/>
            </a:ln>
            <a:effectLst/>
          </c:spPr>
          <c:invertIfNegative val="0"/>
          <c:val>
            <c:numRef>
              <c:f>'Pivot tables'!$O$24</c:f>
              <c:numCache>
                <c:formatCode>0%</c:formatCode>
                <c:ptCount val="1"/>
                <c:pt idx="0">
                  <c:v>0.84</c:v>
                </c:pt>
              </c:numCache>
            </c:numRef>
          </c:val>
          <c:extLst>
            <c:ext xmlns:c16="http://schemas.microsoft.com/office/drawing/2014/chart" uri="{C3380CC4-5D6E-409C-BE32-E72D297353CC}">
              <c16:uniqueId val="{00000001-108C-4DB6-BB7F-4EB8CC2E972D}"/>
            </c:ext>
          </c:extLst>
        </c:ser>
        <c:dLbls>
          <c:showLegendKey val="0"/>
          <c:showVal val="0"/>
          <c:showCatName val="0"/>
          <c:showSerName val="0"/>
          <c:showPercent val="0"/>
          <c:showBubbleSize val="0"/>
        </c:dLbls>
        <c:gapWidth val="150"/>
        <c:overlap val="100"/>
        <c:axId val="138019951"/>
        <c:axId val="138019471"/>
      </c:barChart>
      <c:catAx>
        <c:axId val="138019951"/>
        <c:scaling>
          <c:orientation val="minMax"/>
        </c:scaling>
        <c:delete val="1"/>
        <c:axPos val="l"/>
        <c:majorTickMark val="none"/>
        <c:minorTickMark val="none"/>
        <c:tickLblPos val="nextTo"/>
        <c:crossAx val="138019471"/>
        <c:crosses val="autoZero"/>
        <c:auto val="1"/>
        <c:lblAlgn val="ctr"/>
        <c:lblOffset val="100"/>
        <c:noMultiLvlLbl val="0"/>
      </c:catAx>
      <c:valAx>
        <c:axId val="138019471"/>
        <c:scaling>
          <c:orientation val="minMax"/>
        </c:scaling>
        <c:delete val="1"/>
        <c:axPos val="b"/>
        <c:numFmt formatCode="0%" sourceLinked="1"/>
        <c:majorTickMark val="none"/>
        <c:minorTickMark val="none"/>
        <c:tickLblPos val="nextTo"/>
        <c:crossAx val="13801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percentStacked"/>
        <c:varyColors val="0"/>
        <c:ser>
          <c:idx val="0"/>
          <c:order val="0"/>
          <c:spPr>
            <a:solidFill>
              <a:srgbClr val="0A3459"/>
            </a:solidFill>
            <a:ln>
              <a:noFill/>
            </a:ln>
            <a:effectLst/>
          </c:spPr>
          <c:invertIfNegative val="0"/>
          <c:val>
            <c:numRef>
              <c:f>'Pivot tables'!$N$25</c:f>
              <c:numCache>
                <c:formatCode>0%</c:formatCode>
                <c:ptCount val="1"/>
                <c:pt idx="0">
                  <c:v>0.38</c:v>
                </c:pt>
              </c:numCache>
            </c:numRef>
          </c:val>
          <c:extLst>
            <c:ext xmlns:c16="http://schemas.microsoft.com/office/drawing/2014/chart" uri="{C3380CC4-5D6E-409C-BE32-E72D297353CC}">
              <c16:uniqueId val="{00000000-03D5-4D7C-BA40-CF86619D3B73}"/>
            </c:ext>
          </c:extLst>
        </c:ser>
        <c:ser>
          <c:idx val="1"/>
          <c:order val="1"/>
          <c:spPr>
            <a:solidFill>
              <a:srgbClr val="F2B279"/>
            </a:solidFill>
            <a:ln>
              <a:noFill/>
            </a:ln>
            <a:effectLst/>
          </c:spPr>
          <c:invertIfNegative val="0"/>
          <c:val>
            <c:numRef>
              <c:f>'Pivot tables'!$O$25</c:f>
              <c:numCache>
                <c:formatCode>0%</c:formatCode>
                <c:ptCount val="1"/>
                <c:pt idx="0">
                  <c:v>0.62</c:v>
                </c:pt>
              </c:numCache>
            </c:numRef>
          </c:val>
          <c:extLst>
            <c:ext xmlns:c16="http://schemas.microsoft.com/office/drawing/2014/chart" uri="{C3380CC4-5D6E-409C-BE32-E72D297353CC}">
              <c16:uniqueId val="{00000001-03D5-4D7C-BA40-CF86619D3B73}"/>
            </c:ext>
          </c:extLst>
        </c:ser>
        <c:dLbls>
          <c:showLegendKey val="0"/>
          <c:showVal val="0"/>
          <c:showCatName val="0"/>
          <c:showSerName val="0"/>
          <c:showPercent val="0"/>
          <c:showBubbleSize val="0"/>
        </c:dLbls>
        <c:gapWidth val="150"/>
        <c:overlap val="100"/>
        <c:axId val="410284031"/>
        <c:axId val="410283551"/>
      </c:barChart>
      <c:catAx>
        <c:axId val="410284031"/>
        <c:scaling>
          <c:orientation val="minMax"/>
        </c:scaling>
        <c:delete val="1"/>
        <c:axPos val="l"/>
        <c:majorTickMark val="none"/>
        <c:minorTickMark val="none"/>
        <c:tickLblPos val="nextTo"/>
        <c:crossAx val="410283551"/>
        <c:crosses val="autoZero"/>
        <c:auto val="1"/>
        <c:lblAlgn val="ctr"/>
        <c:lblOffset val="100"/>
        <c:noMultiLvlLbl val="0"/>
      </c:catAx>
      <c:valAx>
        <c:axId val="410283551"/>
        <c:scaling>
          <c:orientation val="minMax"/>
        </c:scaling>
        <c:delete val="1"/>
        <c:axPos val="b"/>
        <c:numFmt formatCode="0%" sourceLinked="1"/>
        <c:majorTickMark val="none"/>
        <c:minorTickMark val="none"/>
        <c:tickLblPos val="nextTo"/>
        <c:crossAx val="41028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85709675555547"/>
          <c:y val="7.1449445085428914E-2"/>
          <c:w val="0.83745184747634049"/>
          <c:h val="0.92855055491457106"/>
        </c:manualLayout>
      </c:layout>
      <c:doughnutChart>
        <c:varyColors val="1"/>
        <c:ser>
          <c:idx val="0"/>
          <c:order val="0"/>
          <c:spPr>
            <a:solidFill>
              <a:srgbClr val="F2B279"/>
            </a:solidFill>
            <a:ln>
              <a:noFill/>
            </a:ln>
          </c:spPr>
          <c:dPt>
            <c:idx val="0"/>
            <c:bubble3D val="0"/>
            <c:spPr>
              <a:solidFill>
                <a:srgbClr val="F2B279"/>
              </a:solidFill>
              <a:ln w="19050">
                <a:noFill/>
              </a:ln>
              <a:effectLst/>
            </c:spPr>
            <c:extLst>
              <c:ext xmlns:c16="http://schemas.microsoft.com/office/drawing/2014/chart" uri="{C3380CC4-5D6E-409C-BE32-E72D297353CC}">
                <c16:uniqueId val="{00000001-99A3-400D-B525-CDA1F7C804CD}"/>
              </c:ext>
            </c:extLst>
          </c:dPt>
          <c:dPt>
            <c:idx val="1"/>
            <c:bubble3D val="0"/>
            <c:spPr>
              <a:solidFill>
                <a:srgbClr val="0A3459"/>
              </a:solidFill>
              <a:ln w="19050">
                <a:noFill/>
              </a:ln>
              <a:effectLst/>
            </c:spPr>
            <c:extLst>
              <c:ext xmlns:c16="http://schemas.microsoft.com/office/drawing/2014/chart" uri="{C3380CC4-5D6E-409C-BE32-E72D297353CC}">
                <c16:uniqueId val="{00000003-99A3-400D-B525-CDA1F7C804CD}"/>
              </c:ext>
            </c:extLst>
          </c:dPt>
          <c:val>
            <c:numRef>
              <c:f>'Pivot tables'!$I$30:$J$30</c:f>
              <c:numCache>
                <c:formatCode>0%</c:formatCode>
                <c:ptCount val="2"/>
                <c:pt idx="0">
                  <c:v>0.52</c:v>
                </c:pt>
                <c:pt idx="1">
                  <c:v>0.48</c:v>
                </c:pt>
              </c:numCache>
            </c:numRef>
          </c:val>
          <c:extLst>
            <c:ext xmlns:c16="http://schemas.microsoft.com/office/drawing/2014/chart" uri="{C3380CC4-5D6E-409C-BE32-E72D297353CC}">
              <c16:uniqueId val="{00000004-99A3-400D-B525-CDA1F7C804C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80563631162337"/>
          <c:y val="8.0075677056387629E-2"/>
          <c:w val="0.80986689771417564"/>
          <c:h val="0.86254310410141055"/>
        </c:manualLayout>
      </c:layout>
      <c:doughnutChart>
        <c:varyColors val="1"/>
        <c:ser>
          <c:idx val="0"/>
          <c:order val="0"/>
          <c:spPr>
            <a:solidFill>
              <a:srgbClr val="F2B279"/>
            </a:solidFill>
            <a:ln>
              <a:noFill/>
            </a:ln>
          </c:spPr>
          <c:dPt>
            <c:idx val="0"/>
            <c:bubble3D val="0"/>
            <c:spPr>
              <a:solidFill>
                <a:srgbClr val="F2B279"/>
              </a:solidFill>
              <a:ln w="19050">
                <a:noFill/>
              </a:ln>
              <a:effectLst/>
            </c:spPr>
            <c:extLst>
              <c:ext xmlns:c16="http://schemas.microsoft.com/office/drawing/2014/chart" uri="{C3380CC4-5D6E-409C-BE32-E72D297353CC}">
                <c16:uniqueId val="{00000001-7AAC-40CC-94F6-0ED2485E28E8}"/>
              </c:ext>
            </c:extLst>
          </c:dPt>
          <c:dPt>
            <c:idx val="1"/>
            <c:bubble3D val="0"/>
            <c:spPr>
              <a:solidFill>
                <a:srgbClr val="0A3459"/>
              </a:solidFill>
              <a:ln w="19050">
                <a:noFill/>
              </a:ln>
              <a:effectLst/>
            </c:spPr>
            <c:extLst>
              <c:ext xmlns:c16="http://schemas.microsoft.com/office/drawing/2014/chart" uri="{C3380CC4-5D6E-409C-BE32-E72D297353CC}">
                <c16:uniqueId val="{00000003-7AAC-40CC-94F6-0ED2485E28E8}"/>
              </c:ext>
            </c:extLst>
          </c:dPt>
          <c:val>
            <c:numRef>
              <c:f>'Pivot tables'!$I$29:$J$29</c:f>
              <c:numCache>
                <c:formatCode>0%</c:formatCode>
                <c:ptCount val="2"/>
                <c:pt idx="0">
                  <c:v>0.48</c:v>
                </c:pt>
                <c:pt idx="1">
                  <c:v>0.52</c:v>
                </c:pt>
              </c:numCache>
            </c:numRef>
          </c:val>
          <c:extLst>
            <c:ext xmlns:c16="http://schemas.microsoft.com/office/drawing/2014/chart" uri="{C3380CC4-5D6E-409C-BE32-E72D297353CC}">
              <c16:uniqueId val="{00000004-7AAC-40CC-94F6-0ED2485E28E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3472803347280332E-2"/>
          <c:y val="3.8408779149519894E-2"/>
          <c:w val="0.96652719665271969"/>
          <c:h val="0.59811455666807078"/>
        </c:manualLayout>
      </c:layout>
      <c:barChart>
        <c:barDir val="col"/>
        <c:grouping val="clustered"/>
        <c:varyColors val="0"/>
        <c:ser>
          <c:idx val="0"/>
          <c:order val="0"/>
          <c:tx>
            <c:strRef>
              <c:f>'Pivot tables'!$E$18</c:f>
              <c:strCache>
                <c:ptCount val="1"/>
                <c:pt idx="0">
                  <c:v>Analyst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tables'!$G$18</c:f>
              <c:numCache>
                <c:formatCode>_-* #,##0_-;\-* #,##0_-;_-* "-"??_-;_-@_-</c:formatCode>
                <c:ptCount val="1"/>
                <c:pt idx="0">
                  <c:v>28</c:v>
                </c:pt>
              </c:numCache>
            </c:numRef>
          </c:val>
          <c:extLst>
            <c:ext xmlns:c16="http://schemas.microsoft.com/office/drawing/2014/chart" uri="{C3380CC4-5D6E-409C-BE32-E72D297353CC}">
              <c16:uniqueId val="{00000000-0ADE-4E00-B952-0CFD5255EBA7}"/>
            </c:ext>
          </c:extLst>
        </c:ser>
        <c:ser>
          <c:idx val="1"/>
          <c:order val="1"/>
          <c:tx>
            <c:strRef>
              <c:f>'Pivot tables'!$E$19</c:f>
              <c:strCache>
                <c:ptCount val="1"/>
                <c:pt idx="0">
                  <c:v>Designer</c:v>
                </c:pt>
              </c:strCache>
            </c:strRef>
          </c:tx>
          <c:spPr>
            <a:solidFill>
              <a:srgbClr val="ED885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tables'!$G$19</c:f>
              <c:numCache>
                <c:formatCode>_-* #,##0_-;\-* #,##0_-;_-* "-"??_-;_-@_-</c:formatCode>
                <c:ptCount val="1"/>
                <c:pt idx="0">
                  <c:v>110</c:v>
                </c:pt>
              </c:numCache>
            </c:numRef>
          </c:val>
          <c:extLst>
            <c:ext xmlns:c16="http://schemas.microsoft.com/office/drawing/2014/chart" uri="{C3380CC4-5D6E-409C-BE32-E72D297353CC}">
              <c16:uniqueId val="{00000001-0ADE-4E00-B952-0CFD5255EBA7}"/>
            </c:ext>
          </c:extLst>
        </c:ser>
        <c:ser>
          <c:idx val="2"/>
          <c:order val="2"/>
          <c:tx>
            <c:strRef>
              <c:f>'Pivot tables'!$E$20</c:f>
              <c:strCache>
                <c:ptCount val="1"/>
                <c:pt idx="0">
                  <c:v>Developer</c:v>
                </c:pt>
              </c:strCache>
            </c:strRef>
          </c:tx>
          <c:spPr>
            <a:solidFill>
              <a:srgbClr val="6DE1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tables'!$G$20</c:f>
              <c:numCache>
                <c:formatCode>_-* #,##0_-;\-* #,##0_-;_-* "-"??_-;_-@_-</c:formatCode>
                <c:ptCount val="1"/>
                <c:pt idx="0">
                  <c:v>104</c:v>
                </c:pt>
              </c:numCache>
            </c:numRef>
          </c:val>
          <c:extLst>
            <c:ext xmlns:c16="http://schemas.microsoft.com/office/drawing/2014/chart" uri="{C3380CC4-5D6E-409C-BE32-E72D297353CC}">
              <c16:uniqueId val="{00000002-0ADE-4E00-B952-0CFD5255EBA7}"/>
            </c:ext>
          </c:extLst>
        </c:ser>
        <c:ser>
          <c:idx val="3"/>
          <c:order val="3"/>
          <c:tx>
            <c:strRef>
              <c:f>'Pivot tables'!$E$21</c:f>
              <c:strCache>
                <c:ptCount val="1"/>
                <c:pt idx="0">
                  <c:v>HR Specialist</c:v>
                </c:pt>
              </c:strCache>
            </c:strRef>
          </c:tx>
          <c:spPr>
            <a:solidFill>
              <a:srgbClr val="0F4C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tables'!$G$21</c:f>
              <c:numCache>
                <c:formatCode>_-* #,##0_-;\-* #,##0_-;_-* "-"??_-;_-@_-</c:formatCode>
                <c:ptCount val="1"/>
                <c:pt idx="0">
                  <c:v>123</c:v>
                </c:pt>
              </c:numCache>
            </c:numRef>
          </c:val>
          <c:extLst>
            <c:ext xmlns:c16="http://schemas.microsoft.com/office/drawing/2014/chart" uri="{C3380CC4-5D6E-409C-BE32-E72D297353CC}">
              <c16:uniqueId val="{00000003-0ADE-4E00-B952-0CFD5255EBA7}"/>
            </c:ext>
          </c:extLst>
        </c:ser>
        <c:ser>
          <c:idx val="4"/>
          <c:order val="4"/>
          <c:tx>
            <c:strRef>
              <c:f>'Pivot tables'!$E$22</c:f>
              <c:strCache>
                <c:ptCount val="1"/>
                <c:pt idx="0">
                  <c:v>Manager</c:v>
                </c:pt>
              </c:strCache>
            </c:strRef>
          </c:tx>
          <c:spPr>
            <a:solidFill>
              <a:srgbClr val="F2B279"/>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Kulim park"/>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tables'!$G$22</c:f>
              <c:numCache>
                <c:formatCode>_-* #,##0_-;\-* #,##0_-;_-* "-"??_-;_-@_-</c:formatCode>
                <c:ptCount val="1"/>
                <c:pt idx="0">
                  <c:v>122</c:v>
                </c:pt>
              </c:numCache>
            </c:numRef>
          </c:val>
          <c:extLst>
            <c:ext xmlns:c16="http://schemas.microsoft.com/office/drawing/2014/chart" uri="{C3380CC4-5D6E-409C-BE32-E72D297353CC}">
              <c16:uniqueId val="{00000004-0ADE-4E00-B952-0CFD5255EBA7}"/>
            </c:ext>
          </c:extLst>
        </c:ser>
        <c:dLbls>
          <c:dLblPos val="outEnd"/>
          <c:showLegendKey val="0"/>
          <c:showVal val="1"/>
          <c:showCatName val="0"/>
          <c:showSerName val="0"/>
          <c:showPercent val="0"/>
          <c:showBubbleSize val="0"/>
        </c:dLbls>
        <c:gapWidth val="219"/>
        <c:overlap val="-27"/>
        <c:axId val="167888559"/>
        <c:axId val="167889039"/>
      </c:barChart>
      <c:catAx>
        <c:axId val="167888559"/>
        <c:scaling>
          <c:orientation val="minMax"/>
        </c:scaling>
        <c:delete val="1"/>
        <c:axPos val="b"/>
        <c:numFmt formatCode="General" sourceLinked="1"/>
        <c:majorTickMark val="none"/>
        <c:minorTickMark val="none"/>
        <c:tickLblPos val="nextTo"/>
        <c:crossAx val="167889039"/>
        <c:crosses val="autoZero"/>
        <c:auto val="1"/>
        <c:lblAlgn val="ctr"/>
        <c:lblOffset val="100"/>
        <c:noMultiLvlLbl val="0"/>
      </c:catAx>
      <c:valAx>
        <c:axId val="167889039"/>
        <c:scaling>
          <c:orientation val="minMax"/>
        </c:scaling>
        <c:delete val="1"/>
        <c:axPos val="l"/>
        <c:numFmt formatCode="_-* #,##0_-;\-* #,##0_-;_-* &quot;-&quot;??_-;_-@_-" sourceLinked="1"/>
        <c:majorTickMark val="none"/>
        <c:minorTickMark val="none"/>
        <c:tickLblPos val="nextTo"/>
        <c:crossAx val="1678885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 dashboard.xlsx]Pivot tables!Region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B279"/>
          </a:solidFill>
          <a:ln>
            <a:noFill/>
          </a:ln>
          <a:effectLst/>
        </c:spPr>
      </c:pivotFmt>
      <c:pivotFmt>
        <c:idx val="4"/>
        <c:spPr>
          <a:solidFill>
            <a:srgbClr val="0F4C83"/>
          </a:solidFill>
          <a:ln>
            <a:noFill/>
          </a:ln>
          <a:effectLst/>
        </c:spPr>
      </c:pivotFmt>
      <c:pivotFmt>
        <c:idx val="5"/>
        <c:spPr>
          <a:solidFill>
            <a:srgbClr val="6DE1D5"/>
          </a:solidFill>
          <a:ln>
            <a:noFill/>
          </a:ln>
          <a:effectLst/>
        </c:spPr>
      </c:pivotFmt>
      <c:pivotFmt>
        <c:idx val="6"/>
        <c:spPr>
          <a:solidFill>
            <a:srgbClr val="ED8855"/>
          </a:solidFill>
          <a:ln>
            <a:noFill/>
          </a:ln>
          <a:effectLst/>
        </c:spPr>
      </c:pivotFmt>
      <c:pivotFmt>
        <c:idx val="7"/>
        <c:spPr>
          <a:solidFill>
            <a:srgbClr val="00B0F0"/>
          </a:solidFill>
          <a:ln>
            <a:noFill/>
          </a:ln>
          <a:effectLst/>
        </c:spPr>
      </c:pivotFmt>
    </c:pivotFmts>
    <c:plotArea>
      <c:layout>
        <c:manualLayout>
          <c:layoutTarget val="inner"/>
          <c:xMode val="edge"/>
          <c:yMode val="edge"/>
          <c:x val="0.19391481327991897"/>
          <c:y val="0.11711720019663772"/>
          <c:w val="0.64234249666160148"/>
          <c:h val="0.87387378440362096"/>
        </c:manualLayout>
      </c:layout>
      <c:barChart>
        <c:barDir val="bar"/>
        <c:grouping val="clustered"/>
        <c:varyColors val="0"/>
        <c:ser>
          <c:idx val="0"/>
          <c:order val="0"/>
          <c:tx>
            <c:strRef>
              <c:f>'Pivot tables'!$F$27</c:f>
              <c:strCache>
                <c:ptCount val="1"/>
                <c:pt idx="0">
                  <c:v>Total</c:v>
                </c:pt>
              </c:strCache>
            </c:strRef>
          </c:tx>
          <c:spPr>
            <a:solidFill>
              <a:schemeClr val="accent1"/>
            </a:solidFill>
            <a:ln>
              <a:noFill/>
            </a:ln>
            <a:effectLst/>
          </c:spPr>
          <c:invertIfNegative val="0"/>
          <c:dPt>
            <c:idx val="0"/>
            <c:invertIfNegative val="0"/>
            <c:bubble3D val="0"/>
            <c:spPr>
              <a:solidFill>
                <a:srgbClr val="F2B279"/>
              </a:solidFill>
              <a:ln>
                <a:noFill/>
              </a:ln>
              <a:effectLst/>
            </c:spPr>
            <c:extLst>
              <c:ext xmlns:c16="http://schemas.microsoft.com/office/drawing/2014/chart" uri="{C3380CC4-5D6E-409C-BE32-E72D297353CC}">
                <c16:uniqueId val="{00000001-E224-4984-8F6D-26A211ACF4CE}"/>
              </c:ext>
            </c:extLst>
          </c:dPt>
          <c:dPt>
            <c:idx val="1"/>
            <c:invertIfNegative val="0"/>
            <c:bubble3D val="0"/>
            <c:spPr>
              <a:solidFill>
                <a:srgbClr val="0F4C83"/>
              </a:solidFill>
              <a:ln>
                <a:noFill/>
              </a:ln>
              <a:effectLst/>
            </c:spPr>
            <c:extLst>
              <c:ext xmlns:c16="http://schemas.microsoft.com/office/drawing/2014/chart" uri="{C3380CC4-5D6E-409C-BE32-E72D297353CC}">
                <c16:uniqueId val="{00000002-E224-4984-8F6D-26A211ACF4CE}"/>
              </c:ext>
            </c:extLst>
          </c:dPt>
          <c:dPt>
            <c:idx val="2"/>
            <c:invertIfNegative val="0"/>
            <c:bubble3D val="0"/>
            <c:spPr>
              <a:solidFill>
                <a:srgbClr val="6DE1D5"/>
              </a:solidFill>
              <a:ln>
                <a:noFill/>
              </a:ln>
              <a:effectLst/>
            </c:spPr>
            <c:extLst>
              <c:ext xmlns:c16="http://schemas.microsoft.com/office/drawing/2014/chart" uri="{C3380CC4-5D6E-409C-BE32-E72D297353CC}">
                <c16:uniqueId val="{00000003-E224-4984-8F6D-26A211ACF4CE}"/>
              </c:ext>
            </c:extLst>
          </c:dPt>
          <c:dPt>
            <c:idx val="3"/>
            <c:invertIfNegative val="0"/>
            <c:bubble3D val="0"/>
            <c:spPr>
              <a:solidFill>
                <a:srgbClr val="ED8855"/>
              </a:solidFill>
              <a:ln>
                <a:noFill/>
              </a:ln>
              <a:effectLst/>
            </c:spPr>
            <c:extLst>
              <c:ext xmlns:c16="http://schemas.microsoft.com/office/drawing/2014/chart" uri="{C3380CC4-5D6E-409C-BE32-E72D297353CC}">
                <c16:uniqueId val="{00000004-E224-4984-8F6D-26A211ACF4CE}"/>
              </c:ext>
            </c:extLst>
          </c:dPt>
          <c:dPt>
            <c:idx val="4"/>
            <c:invertIfNegative val="0"/>
            <c:bubble3D val="0"/>
            <c:spPr>
              <a:solidFill>
                <a:srgbClr val="00B0F0"/>
              </a:solidFill>
              <a:ln>
                <a:noFill/>
              </a:ln>
              <a:effectLst/>
            </c:spPr>
            <c:extLst>
              <c:ext xmlns:c16="http://schemas.microsoft.com/office/drawing/2014/chart" uri="{C3380CC4-5D6E-409C-BE32-E72D297353CC}">
                <c16:uniqueId val="{00000005-E224-4984-8F6D-26A211ACF4CE}"/>
              </c:ext>
            </c:extLst>
          </c:dPt>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tables'!$E$28:$E$33</c:f>
              <c:strCache>
                <c:ptCount val="5"/>
                <c:pt idx="0">
                  <c:v>Central</c:v>
                </c:pt>
                <c:pt idx="1">
                  <c:v>East</c:v>
                </c:pt>
                <c:pt idx="2">
                  <c:v>North</c:v>
                </c:pt>
                <c:pt idx="3">
                  <c:v>South</c:v>
                </c:pt>
                <c:pt idx="4">
                  <c:v>West</c:v>
                </c:pt>
              </c:strCache>
            </c:strRef>
          </c:cat>
          <c:val>
            <c:numRef>
              <c:f>'Pivot tables'!$F$28:$F$33</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E224-4984-8F6D-26A211ACF4CE}"/>
            </c:ext>
          </c:extLst>
        </c:ser>
        <c:dLbls>
          <c:dLblPos val="outEnd"/>
          <c:showLegendKey val="0"/>
          <c:showVal val="1"/>
          <c:showCatName val="0"/>
          <c:showSerName val="0"/>
          <c:showPercent val="0"/>
          <c:showBubbleSize val="0"/>
        </c:dLbls>
        <c:gapWidth val="25"/>
        <c:axId val="139107871"/>
        <c:axId val="139115551"/>
      </c:barChart>
      <c:catAx>
        <c:axId val="139107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39115551"/>
        <c:crosses val="autoZero"/>
        <c:auto val="1"/>
        <c:lblAlgn val="ctr"/>
        <c:lblOffset val="100"/>
        <c:noMultiLvlLbl val="0"/>
      </c:catAx>
      <c:valAx>
        <c:axId val="139115551"/>
        <c:scaling>
          <c:orientation val="minMax"/>
        </c:scaling>
        <c:delete val="1"/>
        <c:axPos val="b"/>
        <c:numFmt formatCode="General" sourceLinked="1"/>
        <c:majorTickMark val="none"/>
        <c:minorTickMark val="none"/>
        <c:tickLblPos val="nextTo"/>
        <c:crossAx val="13910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95249</xdr:colOff>
      <xdr:row>0</xdr:row>
      <xdr:rowOff>171450</xdr:rowOff>
    </xdr:from>
    <xdr:to>
      <xdr:col>15</xdr:col>
      <xdr:colOff>248249</xdr:colOff>
      <xdr:row>38</xdr:row>
      <xdr:rowOff>51600</xdr:rowOff>
    </xdr:to>
    <xdr:sp macro="" textlink="">
      <xdr:nvSpPr>
        <xdr:cNvPr id="2" name="Rectangle: Rounded Corners 1">
          <a:extLst>
            <a:ext uri="{FF2B5EF4-FFF2-40B4-BE49-F238E27FC236}">
              <a16:creationId xmlns:a16="http://schemas.microsoft.com/office/drawing/2014/main" id="{49BE6525-F1C9-F5B6-F40E-73E2E5574362}"/>
            </a:ext>
          </a:extLst>
        </xdr:cNvPr>
        <xdr:cNvSpPr/>
      </xdr:nvSpPr>
      <xdr:spPr>
        <a:xfrm>
          <a:off x="95249" y="533400"/>
          <a:ext cx="10440000" cy="6938175"/>
        </a:xfrm>
        <a:prstGeom prst="roundRect">
          <a:avLst>
            <a:gd name="adj" fmla="val 4421"/>
          </a:avLst>
        </a:prstGeom>
        <a:solidFill>
          <a:srgbClr val="0F4C8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171449</xdr:colOff>
      <xdr:row>21</xdr:row>
      <xdr:rowOff>123825</xdr:rowOff>
    </xdr:from>
    <xdr:to>
      <xdr:col>10</xdr:col>
      <xdr:colOff>562049</xdr:colOff>
      <xdr:row>37</xdr:row>
      <xdr:rowOff>66450</xdr:rowOff>
    </xdr:to>
    <xdr:sp macro="" textlink="">
      <xdr:nvSpPr>
        <xdr:cNvPr id="11" name="Rectangle: Rounded Corners 10">
          <a:extLst>
            <a:ext uri="{FF2B5EF4-FFF2-40B4-BE49-F238E27FC236}">
              <a16:creationId xmlns:a16="http://schemas.microsoft.com/office/drawing/2014/main" id="{63AB77FE-1473-9629-8C5E-A5A4A5BD42D0}"/>
            </a:ext>
          </a:extLst>
        </xdr:cNvPr>
        <xdr:cNvSpPr/>
      </xdr:nvSpPr>
      <xdr:spPr>
        <a:xfrm>
          <a:off x="4972049" y="3381375"/>
          <a:ext cx="2448000" cy="2838225"/>
        </a:xfrm>
        <a:prstGeom prst="roundRect">
          <a:avLst>
            <a:gd name="adj" fmla="val 3967"/>
          </a:avLst>
        </a:prstGeom>
        <a:solidFill>
          <a:srgbClr val="056CA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87331</xdr:colOff>
      <xdr:row>25</xdr:row>
      <xdr:rowOff>95250</xdr:rowOff>
    </xdr:from>
    <xdr:to>
      <xdr:col>10</xdr:col>
      <xdr:colOff>481531</xdr:colOff>
      <xdr:row>26</xdr:row>
      <xdr:rowOff>166275</xdr:rowOff>
    </xdr:to>
    <xdr:sp macro="" textlink="">
      <xdr:nvSpPr>
        <xdr:cNvPr id="44" name="Rectangle: Rounded Corners 43">
          <a:extLst>
            <a:ext uri="{FF2B5EF4-FFF2-40B4-BE49-F238E27FC236}">
              <a16:creationId xmlns:a16="http://schemas.microsoft.com/office/drawing/2014/main" id="{D403B755-8C3D-BC17-41D3-68BF44F188A3}"/>
            </a:ext>
          </a:extLst>
        </xdr:cNvPr>
        <xdr:cNvSpPr/>
      </xdr:nvSpPr>
      <xdr:spPr>
        <a:xfrm>
          <a:off x="6259531" y="4076700"/>
          <a:ext cx="1080000" cy="252000"/>
        </a:xfrm>
        <a:prstGeom prst="roundRect">
          <a:avLst>
            <a:gd name="adj" fmla="val 43125"/>
          </a:avLst>
        </a:prstGeom>
        <a:solidFill>
          <a:srgbClr val="F2B27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65641</xdr:colOff>
      <xdr:row>35</xdr:row>
      <xdr:rowOff>73425</xdr:rowOff>
    </xdr:from>
    <xdr:to>
      <xdr:col>10</xdr:col>
      <xdr:colOff>459841</xdr:colOff>
      <xdr:row>36</xdr:row>
      <xdr:rowOff>144450</xdr:rowOff>
    </xdr:to>
    <xdr:sp macro="" textlink="">
      <xdr:nvSpPr>
        <xdr:cNvPr id="45" name="Rectangle: Rounded Corners 44">
          <a:extLst>
            <a:ext uri="{FF2B5EF4-FFF2-40B4-BE49-F238E27FC236}">
              <a16:creationId xmlns:a16="http://schemas.microsoft.com/office/drawing/2014/main" id="{CD83EC1B-6D84-CD86-79A1-0D1EB876D100}"/>
            </a:ext>
          </a:extLst>
        </xdr:cNvPr>
        <xdr:cNvSpPr/>
      </xdr:nvSpPr>
      <xdr:spPr>
        <a:xfrm>
          <a:off x="6237841" y="5864625"/>
          <a:ext cx="1080000" cy="252000"/>
        </a:xfrm>
        <a:prstGeom prst="roundRect">
          <a:avLst>
            <a:gd name="adj" fmla="val 43125"/>
          </a:avLst>
        </a:prstGeom>
        <a:solidFill>
          <a:srgbClr val="045E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104775</xdr:colOff>
      <xdr:row>27</xdr:row>
      <xdr:rowOff>90885</xdr:rowOff>
    </xdr:from>
    <xdr:to>
      <xdr:col>10</xdr:col>
      <xdr:colOff>498975</xdr:colOff>
      <xdr:row>28</xdr:row>
      <xdr:rowOff>161910</xdr:rowOff>
    </xdr:to>
    <xdr:sp macro="" textlink="">
      <xdr:nvSpPr>
        <xdr:cNvPr id="46" name="Rectangle: Rounded Corners 45">
          <a:extLst>
            <a:ext uri="{FF2B5EF4-FFF2-40B4-BE49-F238E27FC236}">
              <a16:creationId xmlns:a16="http://schemas.microsoft.com/office/drawing/2014/main" id="{91DC3836-75A0-5647-F4A7-9D3F9447D103}"/>
            </a:ext>
          </a:extLst>
        </xdr:cNvPr>
        <xdr:cNvSpPr/>
      </xdr:nvSpPr>
      <xdr:spPr>
        <a:xfrm>
          <a:off x="6276975" y="4434285"/>
          <a:ext cx="1080000" cy="252000"/>
        </a:xfrm>
        <a:prstGeom prst="roundRect">
          <a:avLst>
            <a:gd name="adj" fmla="val 43125"/>
          </a:avLst>
        </a:prstGeom>
        <a:solidFill>
          <a:srgbClr val="045E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109021</xdr:colOff>
      <xdr:row>33</xdr:row>
      <xdr:rowOff>77790</xdr:rowOff>
    </xdr:from>
    <xdr:to>
      <xdr:col>10</xdr:col>
      <xdr:colOff>503221</xdr:colOff>
      <xdr:row>34</xdr:row>
      <xdr:rowOff>148815</xdr:rowOff>
    </xdr:to>
    <xdr:sp macro="" textlink="">
      <xdr:nvSpPr>
        <xdr:cNvPr id="47" name="Rectangle: Rounded Corners 46">
          <a:extLst>
            <a:ext uri="{FF2B5EF4-FFF2-40B4-BE49-F238E27FC236}">
              <a16:creationId xmlns:a16="http://schemas.microsoft.com/office/drawing/2014/main" id="{AE12DBDC-33B3-CB9D-69EC-170F24578966}"/>
            </a:ext>
          </a:extLst>
        </xdr:cNvPr>
        <xdr:cNvSpPr/>
      </xdr:nvSpPr>
      <xdr:spPr>
        <a:xfrm>
          <a:off x="6281221" y="5507040"/>
          <a:ext cx="1080000" cy="252000"/>
        </a:xfrm>
        <a:prstGeom prst="roundRect">
          <a:avLst>
            <a:gd name="adj" fmla="val 43125"/>
          </a:avLst>
        </a:prstGeom>
        <a:solidFill>
          <a:srgbClr val="045E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111661</xdr:colOff>
      <xdr:row>31</xdr:row>
      <xdr:rowOff>82155</xdr:rowOff>
    </xdr:from>
    <xdr:to>
      <xdr:col>10</xdr:col>
      <xdr:colOff>505861</xdr:colOff>
      <xdr:row>32</xdr:row>
      <xdr:rowOff>153180</xdr:rowOff>
    </xdr:to>
    <xdr:sp macro="" textlink="">
      <xdr:nvSpPr>
        <xdr:cNvPr id="48" name="Rectangle: Rounded Corners 47">
          <a:extLst>
            <a:ext uri="{FF2B5EF4-FFF2-40B4-BE49-F238E27FC236}">
              <a16:creationId xmlns:a16="http://schemas.microsoft.com/office/drawing/2014/main" id="{204565BB-E083-D93B-5EC2-F18E89DBC8D7}"/>
            </a:ext>
          </a:extLst>
        </xdr:cNvPr>
        <xdr:cNvSpPr/>
      </xdr:nvSpPr>
      <xdr:spPr>
        <a:xfrm>
          <a:off x="6283861" y="5149455"/>
          <a:ext cx="1080000" cy="252000"/>
        </a:xfrm>
        <a:prstGeom prst="roundRect">
          <a:avLst>
            <a:gd name="adj" fmla="val 43125"/>
          </a:avLst>
        </a:prstGeom>
        <a:solidFill>
          <a:srgbClr val="045E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104775</xdr:colOff>
      <xdr:row>29</xdr:row>
      <xdr:rowOff>86520</xdr:rowOff>
    </xdr:from>
    <xdr:to>
      <xdr:col>10</xdr:col>
      <xdr:colOff>498975</xdr:colOff>
      <xdr:row>30</xdr:row>
      <xdr:rowOff>157545</xdr:rowOff>
    </xdr:to>
    <xdr:sp macro="" textlink="">
      <xdr:nvSpPr>
        <xdr:cNvPr id="49" name="Rectangle: Rounded Corners 48">
          <a:extLst>
            <a:ext uri="{FF2B5EF4-FFF2-40B4-BE49-F238E27FC236}">
              <a16:creationId xmlns:a16="http://schemas.microsoft.com/office/drawing/2014/main" id="{88C55AD0-6E32-436B-D3A0-C028A159074E}"/>
            </a:ext>
          </a:extLst>
        </xdr:cNvPr>
        <xdr:cNvSpPr/>
      </xdr:nvSpPr>
      <xdr:spPr>
        <a:xfrm>
          <a:off x="6276975" y="4791870"/>
          <a:ext cx="1080000" cy="252000"/>
        </a:xfrm>
        <a:prstGeom prst="roundRect">
          <a:avLst>
            <a:gd name="adj" fmla="val 43125"/>
          </a:avLst>
        </a:prstGeom>
        <a:solidFill>
          <a:srgbClr val="045E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190499</xdr:colOff>
      <xdr:row>25</xdr:row>
      <xdr:rowOff>76199</xdr:rowOff>
    </xdr:from>
    <xdr:to>
      <xdr:col>3</xdr:col>
      <xdr:colOff>41099</xdr:colOff>
      <xdr:row>37</xdr:row>
      <xdr:rowOff>47400</xdr:rowOff>
    </xdr:to>
    <xdr:sp macro="" textlink="">
      <xdr:nvSpPr>
        <xdr:cNvPr id="3" name="Rectangle: Rounded Corners 2">
          <a:extLst>
            <a:ext uri="{FF2B5EF4-FFF2-40B4-BE49-F238E27FC236}">
              <a16:creationId xmlns:a16="http://schemas.microsoft.com/office/drawing/2014/main" id="{3A79F38D-0950-E52D-80C6-FA3A23934249}"/>
            </a:ext>
          </a:extLst>
        </xdr:cNvPr>
        <xdr:cNvSpPr/>
      </xdr:nvSpPr>
      <xdr:spPr>
        <a:xfrm>
          <a:off x="190499" y="4057649"/>
          <a:ext cx="1908000" cy="2142901"/>
        </a:xfrm>
        <a:prstGeom prst="roundRect">
          <a:avLst>
            <a:gd name="adj" fmla="val 3967"/>
          </a:avLst>
        </a:prstGeom>
        <a:solidFill>
          <a:srgbClr val="056CA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209549</xdr:colOff>
      <xdr:row>7</xdr:row>
      <xdr:rowOff>85725</xdr:rowOff>
    </xdr:from>
    <xdr:to>
      <xdr:col>3</xdr:col>
      <xdr:colOff>60149</xdr:colOff>
      <xdr:row>24</xdr:row>
      <xdr:rowOff>95250</xdr:rowOff>
    </xdr:to>
    <xdr:sp macro="" textlink="">
      <xdr:nvSpPr>
        <xdr:cNvPr id="8" name="Rectangle: Rounded Corners 7">
          <a:extLst>
            <a:ext uri="{FF2B5EF4-FFF2-40B4-BE49-F238E27FC236}">
              <a16:creationId xmlns:a16="http://schemas.microsoft.com/office/drawing/2014/main" id="{23F3A457-8C5A-2A46-386C-896480997733}"/>
            </a:ext>
          </a:extLst>
        </xdr:cNvPr>
        <xdr:cNvSpPr/>
      </xdr:nvSpPr>
      <xdr:spPr>
        <a:xfrm>
          <a:off x="209549" y="809625"/>
          <a:ext cx="1908000" cy="3086100"/>
        </a:xfrm>
        <a:prstGeom prst="roundRect">
          <a:avLst>
            <a:gd name="adj" fmla="val 3967"/>
          </a:avLst>
        </a:prstGeom>
        <a:solidFill>
          <a:srgbClr val="056CA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295274</xdr:colOff>
      <xdr:row>21</xdr:row>
      <xdr:rowOff>114301</xdr:rowOff>
    </xdr:from>
    <xdr:to>
      <xdr:col>7</xdr:col>
      <xdr:colOff>74</xdr:colOff>
      <xdr:row>37</xdr:row>
      <xdr:rowOff>47401</xdr:rowOff>
    </xdr:to>
    <xdr:sp macro="" textlink="">
      <xdr:nvSpPr>
        <xdr:cNvPr id="10" name="Rectangle: Rounded Corners 9">
          <a:extLst>
            <a:ext uri="{FF2B5EF4-FFF2-40B4-BE49-F238E27FC236}">
              <a16:creationId xmlns:a16="http://schemas.microsoft.com/office/drawing/2014/main" id="{94111299-AEC4-BA9B-1ED1-28C772BE2EC7}"/>
            </a:ext>
          </a:extLst>
        </xdr:cNvPr>
        <xdr:cNvSpPr/>
      </xdr:nvSpPr>
      <xdr:spPr>
        <a:xfrm>
          <a:off x="2352674" y="3371851"/>
          <a:ext cx="2448000" cy="2828700"/>
        </a:xfrm>
        <a:prstGeom prst="roundRect">
          <a:avLst>
            <a:gd name="adj" fmla="val 3967"/>
          </a:avLst>
        </a:prstGeom>
        <a:solidFill>
          <a:srgbClr val="056CA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161924</xdr:colOff>
      <xdr:row>7</xdr:row>
      <xdr:rowOff>114300</xdr:rowOff>
    </xdr:from>
    <xdr:to>
      <xdr:col>10</xdr:col>
      <xdr:colOff>552524</xdr:colOff>
      <xdr:row>20</xdr:row>
      <xdr:rowOff>101625</xdr:rowOff>
    </xdr:to>
    <xdr:sp macro="" textlink="">
      <xdr:nvSpPr>
        <xdr:cNvPr id="12" name="Rectangle: Rounded Corners 11">
          <a:extLst>
            <a:ext uri="{FF2B5EF4-FFF2-40B4-BE49-F238E27FC236}">
              <a16:creationId xmlns:a16="http://schemas.microsoft.com/office/drawing/2014/main" id="{8335B861-AEA2-54E0-2797-71E806E8750F}"/>
            </a:ext>
          </a:extLst>
        </xdr:cNvPr>
        <xdr:cNvSpPr/>
      </xdr:nvSpPr>
      <xdr:spPr>
        <a:xfrm>
          <a:off x="4962524" y="838200"/>
          <a:ext cx="2448000" cy="2340000"/>
        </a:xfrm>
        <a:prstGeom prst="roundRect">
          <a:avLst>
            <a:gd name="adj" fmla="val 3967"/>
          </a:avLst>
        </a:prstGeom>
        <a:solidFill>
          <a:srgbClr val="056CA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380999</xdr:colOff>
      <xdr:row>7</xdr:row>
      <xdr:rowOff>95250</xdr:rowOff>
    </xdr:from>
    <xdr:to>
      <xdr:col>7</xdr:col>
      <xdr:colOff>85799</xdr:colOff>
      <xdr:row>13</xdr:row>
      <xdr:rowOff>133350</xdr:rowOff>
    </xdr:to>
    <xdr:sp macro="" textlink="">
      <xdr:nvSpPr>
        <xdr:cNvPr id="13" name="Rectangle: Rounded Corners 12">
          <a:extLst>
            <a:ext uri="{FF2B5EF4-FFF2-40B4-BE49-F238E27FC236}">
              <a16:creationId xmlns:a16="http://schemas.microsoft.com/office/drawing/2014/main" id="{893F20CF-FE1D-5628-DECB-81C4AB54CED4}"/>
            </a:ext>
          </a:extLst>
        </xdr:cNvPr>
        <xdr:cNvSpPr/>
      </xdr:nvSpPr>
      <xdr:spPr>
        <a:xfrm>
          <a:off x="2438399" y="819150"/>
          <a:ext cx="2448000" cy="1123950"/>
        </a:xfrm>
        <a:prstGeom prst="roundRect">
          <a:avLst>
            <a:gd name="adj" fmla="val 3967"/>
          </a:avLst>
        </a:prstGeom>
        <a:solidFill>
          <a:srgbClr val="056CA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371474</xdr:colOff>
      <xdr:row>14</xdr:row>
      <xdr:rowOff>114300</xdr:rowOff>
    </xdr:from>
    <xdr:to>
      <xdr:col>5</xdr:col>
      <xdr:colOff>169874</xdr:colOff>
      <xdr:row>20</xdr:row>
      <xdr:rowOff>108450</xdr:rowOff>
    </xdr:to>
    <xdr:sp macro="" textlink="">
      <xdr:nvSpPr>
        <xdr:cNvPr id="14" name="Rectangle: Rounded Corners 13">
          <a:extLst>
            <a:ext uri="{FF2B5EF4-FFF2-40B4-BE49-F238E27FC236}">
              <a16:creationId xmlns:a16="http://schemas.microsoft.com/office/drawing/2014/main" id="{A220AA0C-C863-F151-0478-993D6C46E843}"/>
            </a:ext>
          </a:extLst>
        </xdr:cNvPr>
        <xdr:cNvSpPr/>
      </xdr:nvSpPr>
      <xdr:spPr>
        <a:xfrm>
          <a:off x="2428874" y="2105025"/>
          <a:ext cx="1170000" cy="1080000"/>
        </a:xfrm>
        <a:prstGeom prst="roundRect">
          <a:avLst>
            <a:gd name="adj" fmla="val 3967"/>
          </a:avLst>
        </a:prstGeom>
        <a:solidFill>
          <a:srgbClr val="056CA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266699</xdr:colOff>
      <xdr:row>14</xdr:row>
      <xdr:rowOff>114300</xdr:rowOff>
    </xdr:from>
    <xdr:to>
      <xdr:col>7</xdr:col>
      <xdr:colOff>65099</xdr:colOff>
      <xdr:row>20</xdr:row>
      <xdr:rowOff>108450</xdr:rowOff>
    </xdr:to>
    <xdr:sp macro="" textlink="">
      <xdr:nvSpPr>
        <xdr:cNvPr id="15" name="Rectangle: Rounded Corners 14">
          <a:extLst>
            <a:ext uri="{FF2B5EF4-FFF2-40B4-BE49-F238E27FC236}">
              <a16:creationId xmlns:a16="http://schemas.microsoft.com/office/drawing/2014/main" id="{E2A2E1E5-EC79-559D-DCAF-F44873D6204E}"/>
            </a:ext>
          </a:extLst>
        </xdr:cNvPr>
        <xdr:cNvSpPr/>
      </xdr:nvSpPr>
      <xdr:spPr>
        <a:xfrm>
          <a:off x="3695699" y="2105025"/>
          <a:ext cx="1170000" cy="1080000"/>
        </a:xfrm>
        <a:prstGeom prst="roundRect">
          <a:avLst>
            <a:gd name="adj" fmla="val 3967"/>
          </a:avLst>
        </a:prstGeom>
        <a:solidFill>
          <a:srgbClr val="056CA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257173</xdr:colOff>
      <xdr:row>30</xdr:row>
      <xdr:rowOff>79288</xdr:rowOff>
    </xdr:from>
    <xdr:to>
      <xdr:col>13</xdr:col>
      <xdr:colOff>111495</xdr:colOff>
      <xdr:row>37</xdr:row>
      <xdr:rowOff>40736</xdr:rowOff>
    </xdr:to>
    <xdr:sp macro="" textlink="">
      <xdr:nvSpPr>
        <xdr:cNvPr id="16" name="Rectangle: Rounded Corners 15">
          <a:extLst>
            <a:ext uri="{FF2B5EF4-FFF2-40B4-BE49-F238E27FC236}">
              <a16:creationId xmlns:a16="http://schemas.microsoft.com/office/drawing/2014/main" id="{E85F0420-8F78-9F5C-9160-A52618047255}"/>
            </a:ext>
          </a:extLst>
        </xdr:cNvPr>
        <xdr:cNvSpPr/>
      </xdr:nvSpPr>
      <xdr:spPr>
        <a:xfrm>
          <a:off x="7805479" y="5609933"/>
          <a:ext cx="1226742" cy="1251932"/>
        </a:xfrm>
        <a:prstGeom prst="roundRect">
          <a:avLst>
            <a:gd name="adj" fmla="val 14550"/>
          </a:avLst>
        </a:prstGeom>
        <a:solidFill>
          <a:srgbClr val="056CA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269502</xdr:colOff>
      <xdr:row>30</xdr:row>
      <xdr:rowOff>81650</xdr:rowOff>
    </xdr:from>
    <xdr:to>
      <xdr:col>15</xdr:col>
      <xdr:colOff>123824</xdr:colOff>
      <xdr:row>37</xdr:row>
      <xdr:rowOff>43098</xdr:rowOff>
    </xdr:to>
    <xdr:sp macro="" textlink="">
      <xdr:nvSpPr>
        <xdr:cNvPr id="17" name="Rectangle: Rounded Corners 16">
          <a:extLst>
            <a:ext uri="{FF2B5EF4-FFF2-40B4-BE49-F238E27FC236}">
              <a16:creationId xmlns:a16="http://schemas.microsoft.com/office/drawing/2014/main" id="{6A8F9EE2-12C7-E01A-5327-5AF868B7C853}"/>
            </a:ext>
          </a:extLst>
        </xdr:cNvPr>
        <xdr:cNvSpPr/>
      </xdr:nvSpPr>
      <xdr:spPr>
        <a:xfrm>
          <a:off x="9190228" y="5612295"/>
          <a:ext cx="1226741" cy="1251932"/>
        </a:xfrm>
        <a:prstGeom prst="roundRect">
          <a:avLst>
            <a:gd name="adj" fmla="val 14550"/>
          </a:avLst>
        </a:prstGeom>
        <a:solidFill>
          <a:srgbClr val="056CA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247878</xdr:colOff>
      <xdr:row>22</xdr:row>
      <xdr:rowOff>141235</xdr:rowOff>
    </xdr:from>
    <xdr:to>
      <xdr:col>15</xdr:col>
      <xdr:colOff>102200</xdr:colOff>
      <xdr:row>28</xdr:row>
      <xdr:rowOff>140783</xdr:rowOff>
    </xdr:to>
    <xdr:sp macro="" textlink="">
      <xdr:nvSpPr>
        <xdr:cNvPr id="18" name="Rectangle: Rounded Corners 17">
          <a:extLst>
            <a:ext uri="{FF2B5EF4-FFF2-40B4-BE49-F238E27FC236}">
              <a16:creationId xmlns:a16="http://schemas.microsoft.com/office/drawing/2014/main" id="{7779497C-E43A-8DB6-C369-AE72B849B289}"/>
            </a:ext>
          </a:extLst>
        </xdr:cNvPr>
        <xdr:cNvSpPr/>
      </xdr:nvSpPr>
      <xdr:spPr>
        <a:xfrm>
          <a:off x="9168604" y="4197041"/>
          <a:ext cx="1226741" cy="1105677"/>
        </a:xfrm>
        <a:prstGeom prst="roundRect">
          <a:avLst>
            <a:gd name="adj" fmla="val 14550"/>
          </a:avLst>
        </a:prstGeom>
        <a:solidFill>
          <a:srgbClr val="056CA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285978</xdr:colOff>
      <xdr:row>10</xdr:row>
      <xdr:rowOff>21403</xdr:rowOff>
    </xdr:from>
    <xdr:to>
      <xdr:col>15</xdr:col>
      <xdr:colOff>84378</xdr:colOff>
      <xdr:row>19</xdr:row>
      <xdr:rowOff>109158</xdr:rowOff>
    </xdr:to>
    <xdr:sp macro="" textlink="">
      <xdr:nvSpPr>
        <xdr:cNvPr id="20" name="Rectangle: Rounded Corners 19">
          <a:extLst>
            <a:ext uri="{FF2B5EF4-FFF2-40B4-BE49-F238E27FC236}">
              <a16:creationId xmlns:a16="http://schemas.microsoft.com/office/drawing/2014/main" id="{274EE600-C899-0F8B-D573-B5A03E4DDC97}"/>
            </a:ext>
          </a:extLst>
        </xdr:cNvPr>
        <xdr:cNvSpPr/>
      </xdr:nvSpPr>
      <xdr:spPr>
        <a:xfrm>
          <a:off x="7834284" y="1864951"/>
          <a:ext cx="2543239" cy="1746949"/>
        </a:xfrm>
        <a:prstGeom prst="roundRect">
          <a:avLst>
            <a:gd name="adj" fmla="val 6908"/>
          </a:avLst>
        </a:prstGeom>
        <a:solidFill>
          <a:srgbClr val="056CA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326945</xdr:colOff>
      <xdr:row>1</xdr:row>
      <xdr:rowOff>150044</xdr:rowOff>
    </xdr:from>
    <xdr:to>
      <xdr:col>15</xdr:col>
      <xdr:colOff>125345</xdr:colOff>
      <xdr:row>9</xdr:row>
      <xdr:rowOff>78639</xdr:rowOff>
    </xdr:to>
    <xdr:sp macro="" textlink="">
      <xdr:nvSpPr>
        <xdr:cNvPr id="21" name="Rectangle: Rounded Corners 20">
          <a:extLst>
            <a:ext uri="{FF2B5EF4-FFF2-40B4-BE49-F238E27FC236}">
              <a16:creationId xmlns:a16="http://schemas.microsoft.com/office/drawing/2014/main" id="{E7135D23-38DB-B9E7-D52F-AEAFFB07B52B}"/>
            </a:ext>
          </a:extLst>
        </xdr:cNvPr>
        <xdr:cNvSpPr/>
      </xdr:nvSpPr>
      <xdr:spPr>
        <a:xfrm>
          <a:off x="7875251" y="334399"/>
          <a:ext cx="2543239" cy="1403434"/>
        </a:xfrm>
        <a:prstGeom prst="roundRect">
          <a:avLst>
            <a:gd name="adj" fmla="val 6908"/>
          </a:avLst>
        </a:prstGeom>
        <a:solidFill>
          <a:srgbClr val="056CA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276226</xdr:colOff>
      <xdr:row>22</xdr:row>
      <xdr:rowOff>150760</xdr:rowOff>
    </xdr:from>
    <xdr:to>
      <xdr:col>14</xdr:col>
      <xdr:colOff>533400</xdr:colOff>
      <xdr:row>26</xdr:row>
      <xdr:rowOff>131709</xdr:rowOff>
    </xdr:to>
    <xdr:sp macro="" textlink="">
      <xdr:nvSpPr>
        <xdr:cNvPr id="23" name="TextBox 22">
          <a:extLst>
            <a:ext uri="{FF2B5EF4-FFF2-40B4-BE49-F238E27FC236}">
              <a16:creationId xmlns:a16="http://schemas.microsoft.com/office/drawing/2014/main" id="{2534723E-8164-1842-F589-20F8500F4166}"/>
            </a:ext>
          </a:extLst>
        </xdr:cNvPr>
        <xdr:cNvSpPr txBox="1"/>
      </xdr:nvSpPr>
      <xdr:spPr>
        <a:xfrm>
          <a:off x="9196952" y="4206566"/>
          <a:ext cx="943383" cy="718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Kulim park"/>
            </a:rPr>
            <a:t>Part </a:t>
          </a:r>
        </a:p>
        <a:p>
          <a:r>
            <a:rPr lang="en-US" sz="1100">
              <a:solidFill>
                <a:schemeClr val="bg1"/>
              </a:solidFill>
              <a:latin typeface="Kulim park"/>
            </a:rPr>
            <a:t>time employeees </a:t>
          </a:r>
        </a:p>
      </xdr:txBody>
    </xdr:sp>
    <xdr:clientData/>
  </xdr:twoCellAnchor>
  <xdr:twoCellAnchor>
    <xdr:from>
      <xdr:col>13</xdr:col>
      <xdr:colOff>257175</xdr:colOff>
      <xdr:row>25</xdr:row>
      <xdr:rowOff>4505</xdr:rowOff>
    </xdr:from>
    <xdr:to>
      <xdr:col>15</xdr:col>
      <xdr:colOff>95250</xdr:colOff>
      <xdr:row>28</xdr:row>
      <xdr:rowOff>169810</xdr:rowOff>
    </xdr:to>
    <xdr:sp macro="" textlink="'Pivot tables'!C16">
      <xdr:nvSpPr>
        <xdr:cNvPr id="24" name="TextBox 23">
          <a:extLst>
            <a:ext uri="{FF2B5EF4-FFF2-40B4-BE49-F238E27FC236}">
              <a16:creationId xmlns:a16="http://schemas.microsoft.com/office/drawing/2014/main" id="{61C55B0D-AB6D-887A-8EE6-8C142096A205}"/>
            </a:ext>
          </a:extLst>
        </xdr:cNvPr>
        <xdr:cNvSpPr txBox="1"/>
      </xdr:nvSpPr>
      <xdr:spPr>
        <a:xfrm>
          <a:off x="9177901" y="4613376"/>
          <a:ext cx="1210494" cy="718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8CDC5DA-0CF4-454E-A051-769E8DE04CCF}" type="TxLink">
            <a:rPr lang="en-US" sz="3600" b="1" i="0" u="none" strike="noStrike">
              <a:solidFill>
                <a:schemeClr val="bg1"/>
              </a:solidFill>
              <a:latin typeface="Kulim park"/>
            </a:rPr>
            <a:pPr algn="r"/>
            <a:t>13</a:t>
          </a:fld>
          <a:endParaRPr lang="en-US" sz="3600" b="1">
            <a:solidFill>
              <a:schemeClr val="bg1"/>
            </a:solidFill>
            <a:latin typeface="Kulim park"/>
          </a:endParaRPr>
        </a:p>
      </xdr:txBody>
    </xdr:sp>
    <xdr:clientData/>
  </xdr:twoCellAnchor>
  <xdr:twoCellAnchor>
    <xdr:from>
      <xdr:col>13</xdr:col>
      <xdr:colOff>285751</xdr:colOff>
      <xdr:row>30</xdr:row>
      <xdr:rowOff>90231</xdr:rowOff>
    </xdr:from>
    <xdr:to>
      <xdr:col>14</xdr:col>
      <xdr:colOff>542925</xdr:colOff>
      <xdr:row>34</xdr:row>
      <xdr:rowOff>71181</xdr:rowOff>
    </xdr:to>
    <xdr:sp macro="" textlink="">
      <xdr:nvSpPr>
        <xdr:cNvPr id="25" name="TextBox 24">
          <a:extLst>
            <a:ext uri="{FF2B5EF4-FFF2-40B4-BE49-F238E27FC236}">
              <a16:creationId xmlns:a16="http://schemas.microsoft.com/office/drawing/2014/main" id="{D925389C-3505-4DF9-A303-BCE950D2005F}"/>
            </a:ext>
          </a:extLst>
        </xdr:cNvPr>
        <xdr:cNvSpPr txBox="1"/>
      </xdr:nvSpPr>
      <xdr:spPr>
        <a:xfrm>
          <a:off x="9206477" y="5620876"/>
          <a:ext cx="943383" cy="718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Kulim park"/>
            </a:rPr>
            <a:t>Full</a:t>
          </a:r>
        </a:p>
        <a:p>
          <a:r>
            <a:rPr lang="en-US" sz="1100">
              <a:solidFill>
                <a:schemeClr val="bg1"/>
              </a:solidFill>
              <a:latin typeface="Kulim park"/>
            </a:rPr>
            <a:t>time employeees </a:t>
          </a:r>
        </a:p>
      </xdr:txBody>
    </xdr:sp>
    <xdr:clientData/>
  </xdr:twoCellAnchor>
  <xdr:twoCellAnchor>
    <xdr:from>
      <xdr:col>13</xdr:col>
      <xdr:colOff>228600</xdr:colOff>
      <xdr:row>33</xdr:row>
      <xdr:rowOff>54281</xdr:rowOff>
    </xdr:from>
    <xdr:to>
      <xdr:col>15</xdr:col>
      <xdr:colOff>66675</xdr:colOff>
      <xdr:row>37</xdr:row>
      <xdr:rowOff>35231</xdr:rowOff>
    </xdr:to>
    <xdr:sp macro="" textlink="'Pivot tables'!C15">
      <xdr:nvSpPr>
        <xdr:cNvPr id="26" name="TextBox 25">
          <a:extLst>
            <a:ext uri="{FF2B5EF4-FFF2-40B4-BE49-F238E27FC236}">
              <a16:creationId xmlns:a16="http://schemas.microsoft.com/office/drawing/2014/main" id="{E605B980-7FE4-DAD4-454E-17B1B906C180}"/>
            </a:ext>
          </a:extLst>
        </xdr:cNvPr>
        <xdr:cNvSpPr txBox="1"/>
      </xdr:nvSpPr>
      <xdr:spPr>
        <a:xfrm>
          <a:off x="9149326" y="6137991"/>
          <a:ext cx="1210494" cy="718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4F7555A-A58A-4CDF-9410-3A2E66897170}" type="TxLink">
            <a:rPr lang="en-US" sz="3600" b="1" i="0" u="none" strike="noStrike">
              <a:solidFill>
                <a:schemeClr val="bg1"/>
              </a:solidFill>
              <a:latin typeface="Kulim park"/>
            </a:rPr>
            <a:t>20</a:t>
          </a:fld>
          <a:endParaRPr lang="en-US" sz="3600" b="1">
            <a:solidFill>
              <a:schemeClr val="bg1"/>
            </a:solidFill>
            <a:latin typeface="Kulim park"/>
          </a:endParaRPr>
        </a:p>
      </xdr:txBody>
    </xdr:sp>
    <xdr:clientData/>
  </xdr:twoCellAnchor>
  <xdr:twoCellAnchor>
    <xdr:from>
      <xdr:col>11</xdr:col>
      <xdr:colOff>267418</xdr:colOff>
      <xdr:row>30</xdr:row>
      <xdr:rowOff>112866</xdr:rowOff>
    </xdr:from>
    <xdr:to>
      <xdr:col>12</xdr:col>
      <xdr:colOff>524592</xdr:colOff>
      <xdr:row>34</xdr:row>
      <xdr:rowOff>93816</xdr:rowOff>
    </xdr:to>
    <xdr:sp macro="" textlink="">
      <xdr:nvSpPr>
        <xdr:cNvPr id="27" name="TextBox 26">
          <a:extLst>
            <a:ext uri="{FF2B5EF4-FFF2-40B4-BE49-F238E27FC236}">
              <a16:creationId xmlns:a16="http://schemas.microsoft.com/office/drawing/2014/main" id="{01F056EF-488D-AFE9-24D3-DFE859DA3718}"/>
            </a:ext>
          </a:extLst>
        </xdr:cNvPr>
        <xdr:cNvSpPr txBox="1"/>
      </xdr:nvSpPr>
      <xdr:spPr>
        <a:xfrm>
          <a:off x="7815724" y="5643511"/>
          <a:ext cx="943384" cy="718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Kulim park"/>
            </a:rPr>
            <a:t>Employees</a:t>
          </a:r>
        </a:p>
        <a:p>
          <a:r>
            <a:rPr lang="en-US" sz="1100">
              <a:solidFill>
                <a:schemeClr val="bg1"/>
              </a:solidFill>
              <a:latin typeface="Kulim park"/>
            </a:rPr>
            <a:t>With</a:t>
          </a:r>
        </a:p>
        <a:p>
          <a:r>
            <a:rPr lang="en-US" sz="1100">
              <a:solidFill>
                <a:schemeClr val="bg1"/>
              </a:solidFill>
              <a:latin typeface="Kulim park"/>
            </a:rPr>
            <a:t>Contracts</a:t>
          </a:r>
        </a:p>
        <a:p>
          <a:endParaRPr lang="en-US" sz="1100">
            <a:solidFill>
              <a:schemeClr val="bg1"/>
            </a:solidFill>
            <a:latin typeface="Kulim park"/>
          </a:endParaRPr>
        </a:p>
      </xdr:txBody>
    </xdr:sp>
    <xdr:clientData/>
  </xdr:twoCellAnchor>
  <xdr:twoCellAnchor>
    <xdr:from>
      <xdr:col>11</xdr:col>
      <xdr:colOff>247650</xdr:colOff>
      <xdr:row>33</xdr:row>
      <xdr:rowOff>74765</xdr:rowOff>
    </xdr:from>
    <xdr:to>
      <xdr:col>13</xdr:col>
      <xdr:colOff>85725</xdr:colOff>
      <xdr:row>37</xdr:row>
      <xdr:rowOff>55715</xdr:rowOff>
    </xdr:to>
    <xdr:sp macro="" textlink="'Pivot tables'!C14">
      <xdr:nvSpPr>
        <xdr:cNvPr id="28" name="TextBox 27">
          <a:extLst>
            <a:ext uri="{FF2B5EF4-FFF2-40B4-BE49-F238E27FC236}">
              <a16:creationId xmlns:a16="http://schemas.microsoft.com/office/drawing/2014/main" id="{825B9969-5F58-E0AD-A876-613859153143}"/>
            </a:ext>
          </a:extLst>
        </xdr:cNvPr>
        <xdr:cNvSpPr txBox="1"/>
      </xdr:nvSpPr>
      <xdr:spPr>
        <a:xfrm>
          <a:off x="7795956" y="6158475"/>
          <a:ext cx="1210495" cy="718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11FE9E17-E665-486E-984C-94AD2C504FC0}" type="TxLink">
            <a:rPr lang="en-US" sz="3600" b="1" i="0" u="none" strike="noStrike">
              <a:solidFill>
                <a:schemeClr val="bg1"/>
              </a:solidFill>
              <a:latin typeface="Kulim park"/>
              <a:ea typeface="+mn-ea"/>
              <a:cs typeface="+mn-cs"/>
            </a:rPr>
            <a:pPr marL="0" indent="0" algn="r"/>
            <a:t>17</a:t>
          </a:fld>
          <a:endParaRPr lang="en-US" sz="3600" b="1" i="0" u="none" strike="noStrike">
            <a:solidFill>
              <a:schemeClr val="bg1"/>
            </a:solidFill>
            <a:latin typeface="Kulim park"/>
            <a:ea typeface="+mn-ea"/>
            <a:cs typeface="+mn-cs"/>
          </a:endParaRPr>
        </a:p>
      </xdr:txBody>
    </xdr:sp>
    <xdr:clientData/>
  </xdr:twoCellAnchor>
  <xdr:twoCellAnchor>
    <xdr:from>
      <xdr:col>3</xdr:col>
      <xdr:colOff>409576</xdr:colOff>
      <xdr:row>21</xdr:row>
      <xdr:rowOff>133350</xdr:rowOff>
    </xdr:from>
    <xdr:to>
      <xdr:col>5</xdr:col>
      <xdr:colOff>171450</xdr:colOff>
      <xdr:row>23</xdr:row>
      <xdr:rowOff>133350</xdr:rowOff>
    </xdr:to>
    <xdr:sp macro="" textlink="">
      <xdr:nvSpPr>
        <xdr:cNvPr id="29" name="TextBox 28">
          <a:extLst>
            <a:ext uri="{FF2B5EF4-FFF2-40B4-BE49-F238E27FC236}">
              <a16:creationId xmlns:a16="http://schemas.microsoft.com/office/drawing/2014/main" id="{9419FC70-BD2D-AABF-77A0-AE92E29331A4}"/>
            </a:ext>
          </a:extLst>
        </xdr:cNvPr>
        <xdr:cNvSpPr txBox="1"/>
      </xdr:nvSpPr>
      <xdr:spPr>
        <a:xfrm>
          <a:off x="2466976" y="3390900"/>
          <a:ext cx="113347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2B279"/>
              </a:solidFill>
              <a:latin typeface="Kulim park"/>
            </a:rPr>
            <a:t>Age</a:t>
          </a:r>
          <a:r>
            <a:rPr lang="en-US" sz="1400" b="1" baseline="0">
              <a:solidFill>
                <a:srgbClr val="F2B279"/>
              </a:solidFill>
              <a:latin typeface="Kulim park"/>
            </a:rPr>
            <a:t> range</a:t>
          </a:r>
          <a:endParaRPr lang="en-US" sz="1400" b="1">
            <a:solidFill>
              <a:srgbClr val="F2B279"/>
            </a:solidFill>
            <a:latin typeface="Kulim park"/>
          </a:endParaRPr>
        </a:p>
      </xdr:txBody>
    </xdr:sp>
    <xdr:clientData/>
  </xdr:twoCellAnchor>
  <xdr:twoCellAnchor>
    <xdr:from>
      <xdr:col>7</xdr:col>
      <xdr:colOff>200026</xdr:colOff>
      <xdr:row>27</xdr:row>
      <xdr:rowOff>38100</xdr:rowOff>
    </xdr:from>
    <xdr:to>
      <xdr:col>8</xdr:col>
      <xdr:colOff>457200</xdr:colOff>
      <xdr:row>29</xdr:row>
      <xdr:rowOff>38100</xdr:rowOff>
    </xdr:to>
    <xdr:sp macro="" textlink="">
      <xdr:nvSpPr>
        <xdr:cNvPr id="30" name="TextBox 29">
          <a:extLst>
            <a:ext uri="{FF2B5EF4-FFF2-40B4-BE49-F238E27FC236}">
              <a16:creationId xmlns:a16="http://schemas.microsoft.com/office/drawing/2014/main" id="{6E9F719B-EC48-3705-6F93-7C8DE9917870}"/>
            </a:ext>
          </a:extLst>
        </xdr:cNvPr>
        <xdr:cNvSpPr txBox="1"/>
      </xdr:nvSpPr>
      <xdr:spPr>
        <a:xfrm>
          <a:off x="5000626" y="4381500"/>
          <a:ext cx="94297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Kulim park"/>
            </a:rPr>
            <a:t>Managers</a:t>
          </a:r>
        </a:p>
      </xdr:txBody>
    </xdr:sp>
    <xdr:clientData/>
  </xdr:twoCellAnchor>
  <xdr:twoCellAnchor>
    <xdr:from>
      <xdr:col>7</xdr:col>
      <xdr:colOff>200026</xdr:colOff>
      <xdr:row>29</xdr:row>
      <xdr:rowOff>9525</xdr:rowOff>
    </xdr:from>
    <xdr:to>
      <xdr:col>8</xdr:col>
      <xdr:colOff>561976</xdr:colOff>
      <xdr:row>31</xdr:row>
      <xdr:rowOff>9525</xdr:rowOff>
    </xdr:to>
    <xdr:sp macro="" textlink="">
      <xdr:nvSpPr>
        <xdr:cNvPr id="31" name="TextBox 30">
          <a:extLst>
            <a:ext uri="{FF2B5EF4-FFF2-40B4-BE49-F238E27FC236}">
              <a16:creationId xmlns:a16="http://schemas.microsoft.com/office/drawing/2014/main" id="{08A41F07-6645-CF88-34A7-E0C8ABA61380}"/>
            </a:ext>
          </a:extLst>
        </xdr:cNvPr>
        <xdr:cNvSpPr txBox="1"/>
      </xdr:nvSpPr>
      <xdr:spPr>
        <a:xfrm>
          <a:off x="5000626" y="4714875"/>
          <a:ext cx="10477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Kulim park"/>
            </a:rPr>
            <a:t>HR</a:t>
          </a:r>
          <a:r>
            <a:rPr lang="en-US" sz="1100" baseline="0">
              <a:solidFill>
                <a:schemeClr val="bg1"/>
              </a:solidFill>
              <a:latin typeface="Kulim park"/>
            </a:rPr>
            <a:t> Specialists</a:t>
          </a:r>
          <a:endParaRPr lang="en-US" sz="1100">
            <a:solidFill>
              <a:schemeClr val="bg1"/>
            </a:solidFill>
            <a:latin typeface="Kulim park"/>
          </a:endParaRPr>
        </a:p>
      </xdr:txBody>
    </xdr:sp>
    <xdr:clientData/>
  </xdr:twoCellAnchor>
  <xdr:twoCellAnchor>
    <xdr:from>
      <xdr:col>7</xdr:col>
      <xdr:colOff>200026</xdr:colOff>
      <xdr:row>30</xdr:row>
      <xdr:rowOff>161925</xdr:rowOff>
    </xdr:from>
    <xdr:to>
      <xdr:col>8</xdr:col>
      <xdr:colOff>457200</xdr:colOff>
      <xdr:row>32</xdr:row>
      <xdr:rowOff>161925</xdr:rowOff>
    </xdr:to>
    <xdr:sp macro="" textlink="">
      <xdr:nvSpPr>
        <xdr:cNvPr id="35" name="TextBox 34">
          <a:extLst>
            <a:ext uri="{FF2B5EF4-FFF2-40B4-BE49-F238E27FC236}">
              <a16:creationId xmlns:a16="http://schemas.microsoft.com/office/drawing/2014/main" id="{FB949E5D-0FD0-858C-CC8F-D522FF4CF57A}"/>
            </a:ext>
          </a:extLst>
        </xdr:cNvPr>
        <xdr:cNvSpPr txBox="1"/>
      </xdr:nvSpPr>
      <xdr:spPr>
        <a:xfrm>
          <a:off x="5000626" y="5048250"/>
          <a:ext cx="94297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Kulim park"/>
            </a:rPr>
            <a:t>Developers</a:t>
          </a:r>
        </a:p>
      </xdr:txBody>
    </xdr:sp>
    <xdr:clientData/>
  </xdr:twoCellAnchor>
  <xdr:twoCellAnchor>
    <xdr:from>
      <xdr:col>7</xdr:col>
      <xdr:colOff>200026</xdr:colOff>
      <xdr:row>32</xdr:row>
      <xdr:rowOff>152400</xdr:rowOff>
    </xdr:from>
    <xdr:to>
      <xdr:col>8</xdr:col>
      <xdr:colOff>457200</xdr:colOff>
      <xdr:row>34</xdr:row>
      <xdr:rowOff>152400</xdr:rowOff>
    </xdr:to>
    <xdr:sp macro="" textlink="">
      <xdr:nvSpPr>
        <xdr:cNvPr id="36" name="TextBox 35">
          <a:extLst>
            <a:ext uri="{FF2B5EF4-FFF2-40B4-BE49-F238E27FC236}">
              <a16:creationId xmlns:a16="http://schemas.microsoft.com/office/drawing/2014/main" id="{5BF10A08-4245-9020-34B4-82B5ED8EECB5}"/>
            </a:ext>
          </a:extLst>
        </xdr:cNvPr>
        <xdr:cNvSpPr txBox="1"/>
      </xdr:nvSpPr>
      <xdr:spPr>
        <a:xfrm>
          <a:off x="5000626" y="5400675"/>
          <a:ext cx="94297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Kulim park"/>
            </a:rPr>
            <a:t>Designers</a:t>
          </a:r>
        </a:p>
      </xdr:txBody>
    </xdr:sp>
    <xdr:clientData/>
  </xdr:twoCellAnchor>
  <xdr:twoCellAnchor>
    <xdr:from>
      <xdr:col>7</xdr:col>
      <xdr:colOff>200026</xdr:colOff>
      <xdr:row>34</xdr:row>
      <xdr:rowOff>152400</xdr:rowOff>
    </xdr:from>
    <xdr:to>
      <xdr:col>8</xdr:col>
      <xdr:colOff>457200</xdr:colOff>
      <xdr:row>36</xdr:row>
      <xdr:rowOff>152400</xdr:rowOff>
    </xdr:to>
    <xdr:sp macro="" textlink="">
      <xdr:nvSpPr>
        <xdr:cNvPr id="37" name="TextBox 36">
          <a:extLst>
            <a:ext uri="{FF2B5EF4-FFF2-40B4-BE49-F238E27FC236}">
              <a16:creationId xmlns:a16="http://schemas.microsoft.com/office/drawing/2014/main" id="{9BD343E1-8786-9AEE-CF65-FE16AAB3FF3D}"/>
            </a:ext>
          </a:extLst>
        </xdr:cNvPr>
        <xdr:cNvSpPr txBox="1"/>
      </xdr:nvSpPr>
      <xdr:spPr>
        <a:xfrm>
          <a:off x="5000626" y="5762625"/>
          <a:ext cx="94297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Kulim park"/>
            </a:rPr>
            <a:t>Analysts</a:t>
          </a:r>
        </a:p>
      </xdr:txBody>
    </xdr:sp>
    <xdr:clientData/>
  </xdr:twoCellAnchor>
  <xdr:twoCellAnchor>
    <xdr:from>
      <xdr:col>8</xdr:col>
      <xdr:colOff>561975</xdr:colOff>
      <xdr:row>25</xdr:row>
      <xdr:rowOff>19050</xdr:rowOff>
    </xdr:from>
    <xdr:to>
      <xdr:col>10</xdr:col>
      <xdr:colOff>390526</xdr:colOff>
      <xdr:row>27</xdr:row>
      <xdr:rowOff>19050</xdr:rowOff>
    </xdr:to>
    <xdr:sp macro="" textlink="'Pivot tables'!F23">
      <xdr:nvSpPr>
        <xdr:cNvPr id="38" name="TextBox 37">
          <a:extLst>
            <a:ext uri="{FF2B5EF4-FFF2-40B4-BE49-F238E27FC236}">
              <a16:creationId xmlns:a16="http://schemas.microsoft.com/office/drawing/2014/main" id="{FCE29644-D578-EA36-AC3D-77B4665D59A3}"/>
            </a:ext>
          </a:extLst>
        </xdr:cNvPr>
        <xdr:cNvSpPr txBox="1"/>
      </xdr:nvSpPr>
      <xdr:spPr>
        <a:xfrm>
          <a:off x="6048375" y="4000500"/>
          <a:ext cx="120015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5101272-A577-4C31-B0DA-7E49512B96A3}" type="TxLink">
            <a:rPr lang="en-US" sz="1400" b="1" i="0" u="none" strike="noStrike">
              <a:solidFill>
                <a:sysClr val="windowText" lastClr="000000"/>
              </a:solidFill>
              <a:latin typeface="Kulim park"/>
            </a:rPr>
            <a:pPr algn="r"/>
            <a:t> 3,104,913 </a:t>
          </a:fld>
          <a:endParaRPr lang="en-US" sz="1400" b="1">
            <a:solidFill>
              <a:sysClr val="windowText" lastClr="000000"/>
            </a:solidFill>
            <a:latin typeface="Kulim park"/>
          </a:endParaRPr>
        </a:p>
      </xdr:txBody>
    </xdr:sp>
    <xdr:clientData/>
  </xdr:twoCellAnchor>
  <xdr:twoCellAnchor>
    <xdr:from>
      <xdr:col>8</xdr:col>
      <xdr:colOff>561975</xdr:colOff>
      <xdr:row>27</xdr:row>
      <xdr:rowOff>38100</xdr:rowOff>
    </xdr:from>
    <xdr:to>
      <xdr:col>10</xdr:col>
      <xdr:colOff>390526</xdr:colOff>
      <xdr:row>29</xdr:row>
      <xdr:rowOff>38100</xdr:rowOff>
    </xdr:to>
    <xdr:sp macro="" textlink="'Pivot tables'!F22">
      <xdr:nvSpPr>
        <xdr:cNvPr id="39" name="TextBox 38">
          <a:extLst>
            <a:ext uri="{FF2B5EF4-FFF2-40B4-BE49-F238E27FC236}">
              <a16:creationId xmlns:a16="http://schemas.microsoft.com/office/drawing/2014/main" id="{F1A3D26F-2EC6-47C6-413F-CF4168EC79B0}"/>
            </a:ext>
          </a:extLst>
        </xdr:cNvPr>
        <xdr:cNvSpPr txBox="1"/>
      </xdr:nvSpPr>
      <xdr:spPr>
        <a:xfrm>
          <a:off x="6048375" y="4381500"/>
          <a:ext cx="120015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4BE94C0-32D1-43C2-AAD2-DE49851004B9}" type="TxLink">
            <a:rPr lang="en-US" sz="1400" b="0" i="0" u="none" strike="noStrike">
              <a:solidFill>
                <a:schemeClr val="bg1"/>
              </a:solidFill>
              <a:latin typeface="Kulim park"/>
            </a:rPr>
            <a:pPr algn="r"/>
            <a:t> 731,170 </a:t>
          </a:fld>
          <a:endParaRPr lang="en-US" sz="1400">
            <a:solidFill>
              <a:schemeClr val="bg1"/>
            </a:solidFill>
            <a:latin typeface="Kulim park"/>
          </a:endParaRPr>
        </a:p>
      </xdr:txBody>
    </xdr:sp>
    <xdr:clientData/>
  </xdr:twoCellAnchor>
  <xdr:twoCellAnchor>
    <xdr:from>
      <xdr:col>8</xdr:col>
      <xdr:colOff>400047</xdr:colOff>
      <xdr:row>29</xdr:row>
      <xdr:rowOff>38100</xdr:rowOff>
    </xdr:from>
    <xdr:to>
      <xdr:col>10</xdr:col>
      <xdr:colOff>361950</xdr:colOff>
      <xdr:row>31</xdr:row>
      <xdr:rowOff>38100</xdr:rowOff>
    </xdr:to>
    <xdr:sp macro="" textlink="'Pivot tables'!F21">
      <xdr:nvSpPr>
        <xdr:cNvPr id="40" name="TextBox 39">
          <a:extLst>
            <a:ext uri="{FF2B5EF4-FFF2-40B4-BE49-F238E27FC236}">
              <a16:creationId xmlns:a16="http://schemas.microsoft.com/office/drawing/2014/main" id="{A0943604-BE33-0FAB-F95A-521642EC973F}"/>
            </a:ext>
          </a:extLst>
        </xdr:cNvPr>
        <xdr:cNvSpPr txBox="1"/>
      </xdr:nvSpPr>
      <xdr:spPr>
        <a:xfrm>
          <a:off x="5886447" y="4743450"/>
          <a:ext cx="1333503"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A0A6D6-AE97-43B6-8055-C0E4FD7DB76F}" type="TxLink">
            <a:rPr lang="en-US" sz="1400" b="0" i="0" u="none" strike="noStrike">
              <a:solidFill>
                <a:schemeClr val="bg1"/>
              </a:solidFill>
              <a:latin typeface="Kulim park"/>
            </a:rPr>
            <a:pPr algn="r"/>
            <a:t> 959,266 </a:t>
          </a:fld>
          <a:endParaRPr lang="en-US" sz="1400">
            <a:solidFill>
              <a:schemeClr val="bg1"/>
            </a:solidFill>
            <a:latin typeface="Kulim park"/>
          </a:endParaRPr>
        </a:p>
      </xdr:txBody>
    </xdr:sp>
    <xdr:clientData/>
  </xdr:twoCellAnchor>
  <xdr:twoCellAnchor>
    <xdr:from>
      <xdr:col>8</xdr:col>
      <xdr:colOff>542925</xdr:colOff>
      <xdr:row>31</xdr:row>
      <xdr:rowOff>36900</xdr:rowOff>
    </xdr:from>
    <xdr:to>
      <xdr:col>10</xdr:col>
      <xdr:colOff>371476</xdr:colOff>
      <xdr:row>33</xdr:row>
      <xdr:rowOff>36900</xdr:rowOff>
    </xdr:to>
    <xdr:sp macro="" textlink="'Pivot tables'!F20">
      <xdr:nvSpPr>
        <xdr:cNvPr id="41" name="TextBox 40">
          <a:extLst>
            <a:ext uri="{FF2B5EF4-FFF2-40B4-BE49-F238E27FC236}">
              <a16:creationId xmlns:a16="http://schemas.microsoft.com/office/drawing/2014/main" id="{F03C03F8-9D2F-AA8E-96CE-019EE182BE6A}"/>
            </a:ext>
          </a:extLst>
        </xdr:cNvPr>
        <xdr:cNvSpPr txBox="1"/>
      </xdr:nvSpPr>
      <xdr:spPr>
        <a:xfrm>
          <a:off x="6029325" y="5104200"/>
          <a:ext cx="120015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7A49614-2D98-4620-80AE-7B3DF478C6C1}" type="TxLink">
            <a:rPr lang="en-US" sz="1400" b="0" i="0" u="none" strike="noStrike">
              <a:solidFill>
                <a:schemeClr val="bg1"/>
              </a:solidFill>
              <a:latin typeface="Kulim park"/>
            </a:rPr>
            <a:pPr algn="r"/>
            <a:t> 633,594 </a:t>
          </a:fld>
          <a:endParaRPr lang="en-US" sz="1400">
            <a:solidFill>
              <a:schemeClr val="bg1"/>
            </a:solidFill>
            <a:latin typeface="Kulim park"/>
          </a:endParaRPr>
        </a:p>
      </xdr:txBody>
    </xdr:sp>
    <xdr:clientData/>
  </xdr:twoCellAnchor>
  <xdr:twoCellAnchor>
    <xdr:from>
      <xdr:col>8</xdr:col>
      <xdr:colOff>533400</xdr:colOff>
      <xdr:row>33</xdr:row>
      <xdr:rowOff>19050</xdr:rowOff>
    </xdr:from>
    <xdr:to>
      <xdr:col>10</xdr:col>
      <xdr:colOff>361951</xdr:colOff>
      <xdr:row>35</xdr:row>
      <xdr:rowOff>19050</xdr:rowOff>
    </xdr:to>
    <xdr:sp macro="" textlink="'Pivot tables'!F19">
      <xdr:nvSpPr>
        <xdr:cNvPr id="42" name="TextBox 41">
          <a:extLst>
            <a:ext uri="{FF2B5EF4-FFF2-40B4-BE49-F238E27FC236}">
              <a16:creationId xmlns:a16="http://schemas.microsoft.com/office/drawing/2014/main" id="{FF94F4A6-0335-387B-8D04-DC1E29830EF9}"/>
            </a:ext>
          </a:extLst>
        </xdr:cNvPr>
        <xdr:cNvSpPr txBox="1"/>
      </xdr:nvSpPr>
      <xdr:spPr>
        <a:xfrm>
          <a:off x="6019800" y="5448300"/>
          <a:ext cx="120015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924C4B9-CC58-4749-A99E-37362DEE70CA}" type="TxLink">
            <a:rPr lang="en-US" sz="1400" b="0" i="0" u="none" strike="noStrike">
              <a:solidFill>
                <a:schemeClr val="bg1"/>
              </a:solidFill>
              <a:latin typeface="Kulim park"/>
            </a:rPr>
            <a:pPr algn="r"/>
            <a:t> 613,842 </a:t>
          </a:fld>
          <a:endParaRPr lang="en-US" sz="1400">
            <a:solidFill>
              <a:schemeClr val="bg1"/>
            </a:solidFill>
            <a:latin typeface="Kulim park"/>
          </a:endParaRPr>
        </a:p>
      </xdr:txBody>
    </xdr:sp>
    <xdr:clientData/>
  </xdr:twoCellAnchor>
  <xdr:twoCellAnchor>
    <xdr:from>
      <xdr:col>8</xdr:col>
      <xdr:colOff>495300</xdr:colOff>
      <xdr:row>35</xdr:row>
      <xdr:rowOff>9525</xdr:rowOff>
    </xdr:from>
    <xdr:to>
      <xdr:col>10</xdr:col>
      <xdr:colOff>323851</xdr:colOff>
      <xdr:row>37</xdr:row>
      <xdr:rowOff>9525</xdr:rowOff>
    </xdr:to>
    <xdr:sp macro="" textlink="'Pivot tables'!F18">
      <xdr:nvSpPr>
        <xdr:cNvPr id="43" name="TextBox 42">
          <a:extLst>
            <a:ext uri="{FF2B5EF4-FFF2-40B4-BE49-F238E27FC236}">
              <a16:creationId xmlns:a16="http://schemas.microsoft.com/office/drawing/2014/main" id="{197377FE-E482-522F-F090-302A101B0082}"/>
            </a:ext>
          </a:extLst>
        </xdr:cNvPr>
        <xdr:cNvSpPr txBox="1"/>
      </xdr:nvSpPr>
      <xdr:spPr>
        <a:xfrm>
          <a:off x="5981700" y="5800725"/>
          <a:ext cx="120015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662435E-40E0-4C46-B701-F799230ABF1E}" type="TxLink">
            <a:rPr lang="en-US" sz="1400" b="0" i="0" u="none" strike="noStrike">
              <a:solidFill>
                <a:schemeClr val="bg1"/>
              </a:solidFill>
              <a:latin typeface="Kulim park"/>
            </a:rPr>
            <a:pPr algn="r"/>
            <a:t> 167,041 </a:t>
          </a:fld>
          <a:endParaRPr lang="en-US" sz="1400">
            <a:solidFill>
              <a:schemeClr val="bg1"/>
            </a:solidFill>
            <a:latin typeface="Kulim park"/>
          </a:endParaRPr>
        </a:p>
      </xdr:txBody>
    </xdr:sp>
    <xdr:clientData/>
  </xdr:twoCellAnchor>
  <xdr:twoCellAnchor>
    <xdr:from>
      <xdr:col>3</xdr:col>
      <xdr:colOff>381000</xdr:colOff>
      <xdr:row>22</xdr:row>
      <xdr:rowOff>180974</xdr:rowOff>
    </xdr:from>
    <xdr:to>
      <xdr:col>7</xdr:col>
      <xdr:colOff>190500</xdr:colOff>
      <xdr:row>26</xdr:row>
      <xdr:rowOff>95249</xdr:rowOff>
    </xdr:to>
    <xdr:sp macro="" textlink="">
      <xdr:nvSpPr>
        <xdr:cNvPr id="50" name="TextBox 49">
          <a:extLst>
            <a:ext uri="{FF2B5EF4-FFF2-40B4-BE49-F238E27FC236}">
              <a16:creationId xmlns:a16="http://schemas.microsoft.com/office/drawing/2014/main" id="{81C54DA9-11F7-69A1-3D7B-62DAECECED25}"/>
            </a:ext>
          </a:extLst>
        </xdr:cNvPr>
        <xdr:cNvSpPr txBox="1"/>
      </xdr:nvSpPr>
      <xdr:spPr>
        <a:xfrm>
          <a:off x="2438400" y="3619499"/>
          <a:ext cx="2552700"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1">
                  <a:lumMod val="40000"/>
                  <a:lumOff val="60000"/>
                </a:schemeClr>
              </a:solidFill>
              <a:latin typeface="Kulim park"/>
            </a:rPr>
            <a:t>Salary</a:t>
          </a:r>
          <a:r>
            <a:rPr lang="en-US" sz="1000" b="0" baseline="0">
              <a:solidFill>
                <a:schemeClr val="accent1">
                  <a:lumMod val="40000"/>
                  <a:lumOff val="60000"/>
                </a:schemeClr>
              </a:solidFill>
              <a:latin typeface="Kulim park"/>
            </a:rPr>
            <a:t> amount by job Number of employees accourding to age range and gender   </a:t>
          </a:r>
          <a:endParaRPr lang="en-US" sz="1000" b="0">
            <a:solidFill>
              <a:schemeClr val="accent1">
                <a:lumMod val="40000"/>
                <a:lumOff val="60000"/>
              </a:schemeClr>
            </a:solidFill>
            <a:latin typeface="Kulim park"/>
          </a:endParaRPr>
        </a:p>
      </xdr:txBody>
    </xdr:sp>
    <xdr:clientData/>
  </xdr:twoCellAnchor>
  <xdr:twoCellAnchor>
    <xdr:from>
      <xdr:col>11</xdr:col>
      <xdr:colOff>496018</xdr:colOff>
      <xdr:row>20</xdr:row>
      <xdr:rowOff>68824</xdr:rowOff>
    </xdr:from>
    <xdr:to>
      <xdr:col>15</xdr:col>
      <xdr:colOff>524592</xdr:colOff>
      <xdr:row>22</xdr:row>
      <xdr:rowOff>68825</xdr:rowOff>
    </xdr:to>
    <xdr:sp macro="" textlink="">
      <xdr:nvSpPr>
        <xdr:cNvPr id="51" name="TextBox 50">
          <a:extLst>
            <a:ext uri="{FF2B5EF4-FFF2-40B4-BE49-F238E27FC236}">
              <a16:creationId xmlns:a16="http://schemas.microsoft.com/office/drawing/2014/main" id="{77572490-9786-F501-133E-847026469A14}"/>
            </a:ext>
          </a:extLst>
        </xdr:cNvPr>
        <xdr:cNvSpPr txBox="1"/>
      </xdr:nvSpPr>
      <xdr:spPr>
        <a:xfrm>
          <a:off x="8044324" y="3755921"/>
          <a:ext cx="2773413" cy="368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2B279"/>
              </a:solidFill>
              <a:latin typeface="Kulim park"/>
            </a:rPr>
            <a:t>Employments Status BreakDown </a:t>
          </a:r>
        </a:p>
      </xdr:txBody>
    </xdr:sp>
    <xdr:clientData/>
  </xdr:twoCellAnchor>
  <xdr:twoCellAnchor>
    <xdr:from>
      <xdr:col>11</xdr:col>
      <xdr:colOff>326001</xdr:colOff>
      <xdr:row>21</xdr:row>
      <xdr:rowOff>141950</xdr:rowOff>
    </xdr:from>
    <xdr:to>
      <xdr:col>13</xdr:col>
      <xdr:colOff>106926</xdr:colOff>
      <xdr:row>29</xdr:row>
      <xdr:rowOff>43320</xdr:rowOff>
    </xdr:to>
    <xdr:graphicFrame macro="">
      <xdr:nvGraphicFramePr>
        <xdr:cNvPr id="54" name="Chart 53">
          <a:extLst>
            <a:ext uri="{FF2B5EF4-FFF2-40B4-BE49-F238E27FC236}">
              <a16:creationId xmlns:a16="http://schemas.microsoft.com/office/drawing/2014/main" id="{F6611770-6A3E-4455-8131-A35EC8E5E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490077</xdr:colOff>
      <xdr:row>23</xdr:row>
      <xdr:rowOff>14030</xdr:rowOff>
    </xdr:from>
    <xdr:to>
      <xdr:col>14</xdr:col>
      <xdr:colOff>652002</xdr:colOff>
      <xdr:row>24</xdr:row>
      <xdr:rowOff>4505</xdr:rowOff>
    </xdr:to>
    <xdr:sp macro="" textlink="">
      <xdr:nvSpPr>
        <xdr:cNvPr id="55" name="Oval 54">
          <a:extLst>
            <a:ext uri="{FF2B5EF4-FFF2-40B4-BE49-F238E27FC236}">
              <a16:creationId xmlns:a16="http://schemas.microsoft.com/office/drawing/2014/main" id="{FA9E0C65-73BE-E3BD-34C1-C747E59338DC}"/>
            </a:ext>
          </a:extLst>
        </xdr:cNvPr>
        <xdr:cNvSpPr/>
      </xdr:nvSpPr>
      <xdr:spPr>
        <a:xfrm>
          <a:off x="10097012" y="4254191"/>
          <a:ext cx="161925" cy="174830"/>
        </a:xfrm>
        <a:prstGeom prst="ellipse">
          <a:avLst/>
        </a:prstGeom>
        <a:solidFill>
          <a:srgbClr val="0A34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500319</xdr:colOff>
      <xdr:row>30</xdr:row>
      <xdr:rowOff>181486</xdr:rowOff>
    </xdr:from>
    <xdr:to>
      <xdr:col>14</xdr:col>
      <xdr:colOff>662244</xdr:colOff>
      <xdr:row>31</xdr:row>
      <xdr:rowOff>171961</xdr:rowOff>
    </xdr:to>
    <xdr:sp macro="" textlink="">
      <xdr:nvSpPr>
        <xdr:cNvPr id="56" name="Oval 55">
          <a:extLst>
            <a:ext uri="{FF2B5EF4-FFF2-40B4-BE49-F238E27FC236}">
              <a16:creationId xmlns:a16="http://schemas.microsoft.com/office/drawing/2014/main" id="{12C4B1C9-708A-41FD-7A34-488AB1C252DC}"/>
            </a:ext>
          </a:extLst>
        </xdr:cNvPr>
        <xdr:cNvSpPr/>
      </xdr:nvSpPr>
      <xdr:spPr>
        <a:xfrm>
          <a:off x="10107254" y="5712131"/>
          <a:ext cx="161925" cy="174830"/>
        </a:xfrm>
        <a:prstGeom prst="ellipse">
          <a:avLst/>
        </a:prstGeom>
        <a:solidFill>
          <a:srgbClr val="F2B27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506258</xdr:colOff>
      <xdr:row>30</xdr:row>
      <xdr:rowOff>171245</xdr:rowOff>
    </xdr:from>
    <xdr:to>
      <xdr:col>12</xdr:col>
      <xdr:colOff>668183</xdr:colOff>
      <xdr:row>31</xdr:row>
      <xdr:rowOff>161720</xdr:rowOff>
    </xdr:to>
    <xdr:sp macro="" textlink="">
      <xdr:nvSpPr>
        <xdr:cNvPr id="57" name="Oval 56">
          <a:extLst>
            <a:ext uri="{FF2B5EF4-FFF2-40B4-BE49-F238E27FC236}">
              <a16:creationId xmlns:a16="http://schemas.microsoft.com/office/drawing/2014/main" id="{12254A8A-47F1-2886-01B7-7F3B9E10CCCB}"/>
            </a:ext>
          </a:extLst>
        </xdr:cNvPr>
        <xdr:cNvSpPr/>
      </xdr:nvSpPr>
      <xdr:spPr>
        <a:xfrm>
          <a:off x="8740774" y="5701890"/>
          <a:ext cx="161925" cy="174830"/>
        </a:xfrm>
        <a:prstGeom prst="ellipse">
          <a:avLst/>
        </a:prstGeom>
        <a:solidFill>
          <a:srgbClr val="6DE1D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333376</xdr:colOff>
      <xdr:row>27</xdr:row>
      <xdr:rowOff>19050</xdr:rowOff>
    </xdr:from>
    <xdr:to>
      <xdr:col>6</xdr:col>
      <xdr:colOff>657226</xdr:colOff>
      <xdr:row>37</xdr:row>
      <xdr:rowOff>47624</xdr:rowOff>
    </xdr:to>
    <xdr:graphicFrame macro="">
      <xdr:nvGraphicFramePr>
        <xdr:cNvPr id="61" name="Chart 60">
          <a:extLst>
            <a:ext uri="{FF2B5EF4-FFF2-40B4-BE49-F238E27FC236}">
              <a16:creationId xmlns:a16="http://schemas.microsoft.com/office/drawing/2014/main" id="{890F92E0-9ED2-4DAE-9D6C-BD567CDBD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371476</xdr:colOff>
      <xdr:row>22</xdr:row>
      <xdr:rowOff>0</xdr:rowOff>
    </xdr:from>
    <xdr:to>
      <xdr:col>9</xdr:col>
      <xdr:colOff>133350</xdr:colOff>
      <xdr:row>24</xdr:row>
      <xdr:rowOff>0</xdr:rowOff>
    </xdr:to>
    <xdr:sp macro="" textlink="">
      <xdr:nvSpPr>
        <xdr:cNvPr id="62" name="TextBox 61">
          <a:extLst>
            <a:ext uri="{FF2B5EF4-FFF2-40B4-BE49-F238E27FC236}">
              <a16:creationId xmlns:a16="http://schemas.microsoft.com/office/drawing/2014/main" id="{3DABEDD8-CCD7-A2A9-D51C-7DC15B4DF7E8}"/>
            </a:ext>
          </a:extLst>
        </xdr:cNvPr>
        <xdr:cNvSpPr txBox="1"/>
      </xdr:nvSpPr>
      <xdr:spPr>
        <a:xfrm>
          <a:off x="5172076" y="3438525"/>
          <a:ext cx="113347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2B279"/>
              </a:solidFill>
              <a:latin typeface="Kulim park"/>
            </a:rPr>
            <a:t>Salaries </a:t>
          </a:r>
        </a:p>
      </xdr:txBody>
    </xdr:sp>
    <xdr:clientData/>
  </xdr:twoCellAnchor>
  <xdr:twoCellAnchor>
    <xdr:from>
      <xdr:col>7</xdr:col>
      <xdr:colOff>342900</xdr:colOff>
      <xdr:row>23</xdr:row>
      <xdr:rowOff>47625</xdr:rowOff>
    </xdr:from>
    <xdr:to>
      <xdr:col>10</xdr:col>
      <xdr:colOff>419100</xdr:colOff>
      <xdr:row>25</xdr:row>
      <xdr:rowOff>47625</xdr:rowOff>
    </xdr:to>
    <xdr:sp macro="" textlink="">
      <xdr:nvSpPr>
        <xdr:cNvPr id="63" name="TextBox 62">
          <a:extLst>
            <a:ext uri="{FF2B5EF4-FFF2-40B4-BE49-F238E27FC236}">
              <a16:creationId xmlns:a16="http://schemas.microsoft.com/office/drawing/2014/main" id="{FAE31033-2B67-42F6-1AE3-CBC6D5C0950A}"/>
            </a:ext>
          </a:extLst>
        </xdr:cNvPr>
        <xdr:cNvSpPr txBox="1"/>
      </xdr:nvSpPr>
      <xdr:spPr>
        <a:xfrm>
          <a:off x="5143500" y="3667125"/>
          <a:ext cx="21336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1">
                  <a:lumMod val="40000"/>
                  <a:lumOff val="60000"/>
                </a:schemeClr>
              </a:solidFill>
              <a:latin typeface="Kulim park"/>
            </a:rPr>
            <a:t>Salary</a:t>
          </a:r>
          <a:r>
            <a:rPr lang="en-US" sz="1000" b="0" baseline="0">
              <a:solidFill>
                <a:schemeClr val="accent1">
                  <a:lumMod val="40000"/>
                  <a:lumOff val="60000"/>
                </a:schemeClr>
              </a:solidFill>
              <a:latin typeface="Kulim park"/>
            </a:rPr>
            <a:t> amount by job titels  </a:t>
          </a:r>
          <a:endParaRPr lang="en-US" sz="1000" b="0">
            <a:solidFill>
              <a:schemeClr val="accent1">
                <a:lumMod val="40000"/>
                <a:lumOff val="60000"/>
              </a:schemeClr>
            </a:solidFill>
            <a:latin typeface="Kulim park"/>
          </a:endParaRPr>
        </a:p>
      </xdr:txBody>
    </xdr:sp>
    <xdr:clientData/>
  </xdr:twoCellAnchor>
  <xdr:twoCellAnchor>
    <xdr:from>
      <xdr:col>6</xdr:col>
      <xdr:colOff>190501</xdr:colOff>
      <xdr:row>26</xdr:row>
      <xdr:rowOff>0</xdr:rowOff>
    </xdr:from>
    <xdr:to>
      <xdr:col>6</xdr:col>
      <xdr:colOff>647700</xdr:colOff>
      <xdr:row>28</xdr:row>
      <xdr:rowOff>0</xdr:rowOff>
    </xdr:to>
    <xdr:sp macro="" textlink="">
      <xdr:nvSpPr>
        <xdr:cNvPr id="64" name="TextBox 63">
          <a:extLst>
            <a:ext uri="{FF2B5EF4-FFF2-40B4-BE49-F238E27FC236}">
              <a16:creationId xmlns:a16="http://schemas.microsoft.com/office/drawing/2014/main" id="{A4F9FB42-8D52-496C-D1C6-B239EACFF3C5}"/>
            </a:ext>
          </a:extLst>
        </xdr:cNvPr>
        <xdr:cNvSpPr txBox="1"/>
      </xdr:nvSpPr>
      <xdr:spPr>
        <a:xfrm>
          <a:off x="4305301" y="4162425"/>
          <a:ext cx="45719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0A3459"/>
              </a:solidFill>
              <a:latin typeface="Kulim park"/>
            </a:rPr>
            <a:t>Male</a:t>
          </a:r>
        </a:p>
      </xdr:txBody>
    </xdr:sp>
    <xdr:clientData/>
  </xdr:twoCellAnchor>
  <xdr:twoCellAnchor>
    <xdr:from>
      <xdr:col>6</xdr:col>
      <xdr:colOff>104776</xdr:colOff>
      <xdr:row>26</xdr:row>
      <xdr:rowOff>66676</xdr:rowOff>
    </xdr:from>
    <xdr:to>
      <xdr:col>6</xdr:col>
      <xdr:colOff>209550</xdr:colOff>
      <xdr:row>26</xdr:row>
      <xdr:rowOff>161926</xdr:rowOff>
    </xdr:to>
    <xdr:sp macro="" textlink="">
      <xdr:nvSpPr>
        <xdr:cNvPr id="65" name="Oval 64">
          <a:extLst>
            <a:ext uri="{FF2B5EF4-FFF2-40B4-BE49-F238E27FC236}">
              <a16:creationId xmlns:a16="http://schemas.microsoft.com/office/drawing/2014/main" id="{98998377-7E53-3CC4-9CFB-8474601EC460}"/>
            </a:ext>
          </a:extLst>
        </xdr:cNvPr>
        <xdr:cNvSpPr/>
      </xdr:nvSpPr>
      <xdr:spPr>
        <a:xfrm>
          <a:off x="4219576" y="4229101"/>
          <a:ext cx="104774" cy="95250"/>
        </a:xfrm>
        <a:prstGeom prst="ellipse">
          <a:avLst/>
        </a:prstGeom>
        <a:solidFill>
          <a:srgbClr val="0A34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161926</xdr:colOff>
      <xdr:row>26</xdr:row>
      <xdr:rowOff>0</xdr:rowOff>
    </xdr:from>
    <xdr:to>
      <xdr:col>6</xdr:col>
      <xdr:colOff>238125</xdr:colOff>
      <xdr:row>28</xdr:row>
      <xdr:rowOff>0</xdr:rowOff>
    </xdr:to>
    <xdr:sp macro="" textlink="">
      <xdr:nvSpPr>
        <xdr:cNvPr id="66" name="TextBox 65">
          <a:extLst>
            <a:ext uri="{FF2B5EF4-FFF2-40B4-BE49-F238E27FC236}">
              <a16:creationId xmlns:a16="http://schemas.microsoft.com/office/drawing/2014/main" id="{1FBB3F84-07E0-95EF-0777-7F6ED19BBD6E}"/>
            </a:ext>
          </a:extLst>
        </xdr:cNvPr>
        <xdr:cNvSpPr txBox="1"/>
      </xdr:nvSpPr>
      <xdr:spPr>
        <a:xfrm>
          <a:off x="3590926" y="4162425"/>
          <a:ext cx="76199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F2B279"/>
              </a:solidFill>
              <a:latin typeface="Kulim park"/>
            </a:rPr>
            <a:t>Females</a:t>
          </a:r>
        </a:p>
      </xdr:txBody>
    </xdr:sp>
    <xdr:clientData/>
  </xdr:twoCellAnchor>
  <xdr:twoCellAnchor>
    <xdr:from>
      <xdr:col>5</xdr:col>
      <xdr:colOff>66676</xdr:colOff>
      <xdr:row>26</xdr:row>
      <xdr:rowOff>76201</xdr:rowOff>
    </xdr:from>
    <xdr:to>
      <xdr:col>5</xdr:col>
      <xdr:colOff>171450</xdr:colOff>
      <xdr:row>26</xdr:row>
      <xdr:rowOff>171451</xdr:rowOff>
    </xdr:to>
    <xdr:sp macro="" textlink="">
      <xdr:nvSpPr>
        <xdr:cNvPr id="68" name="Oval 67">
          <a:extLst>
            <a:ext uri="{FF2B5EF4-FFF2-40B4-BE49-F238E27FC236}">
              <a16:creationId xmlns:a16="http://schemas.microsoft.com/office/drawing/2014/main" id="{BDBBC4A7-4275-0C46-79F1-6678E2EED908}"/>
            </a:ext>
          </a:extLst>
        </xdr:cNvPr>
        <xdr:cNvSpPr/>
      </xdr:nvSpPr>
      <xdr:spPr>
        <a:xfrm>
          <a:off x="3495676" y="4238626"/>
          <a:ext cx="104774" cy="95250"/>
        </a:xfrm>
        <a:prstGeom prst="ellipse">
          <a:avLst/>
        </a:prstGeom>
        <a:solidFill>
          <a:srgbClr val="F2B27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352426</xdr:colOff>
      <xdr:row>29</xdr:row>
      <xdr:rowOff>38100</xdr:rowOff>
    </xdr:from>
    <xdr:to>
      <xdr:col>2</xdr:col>
      <xdr:colOff>352425</xdr:colOff>
      <xdr:row>32</xdr:row>
      <xdr:rowOff>104774</xdr:rowOff>
    </xdr:to>
    <xdr:graphicFrame macro="">
      <xdr:nvGraphicFramePr>
        <xdr:cNvPr id="72" name="Chart 71">
          <a:extLst>
            <a:ext uri="{FF2B5EF4-FFF2-40B4-BE49-F238E27FC236}">
              <a16:creationId xmlns:a16="http://schemas.microsoft.com/office/drawing/2014/main" id="{51BEAE0E-5830-4824-8454-1AA961A7F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323851</xdr:colOff>
      <xdr:row>31</xdr:row>
      <xdr:rowOff>138112</xdr:rowOff>
    </xdr:from>
    <xdr:to>
      <xdr:col>2</xdr:col>
      <xdr:colOff>323850</xdr:colOff>
      <xdr:row>35</xdr:row>
      <xdr:rowOff>23811</xdr:rowOff>
    </xdr:to>
    <xdr:graphicFrame macro="">
      <xdr:nvGraphicFramePr>
        <xdr:cNvPr id="73" name="Chart 72">
          <a:extLst>
            <a:ext uri="{FF2B5EF4-FFF2-40B4-BE49-F238E27FC236}">
              <a16:creationId xmlns:a16="http://schemas.microsoft.com/office/drawing/2014/main" id="{DF611AC0-9A11-4C4B-9AFE-C6DD03AEB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323851</xdr:colOff>
      <xdr:row>34</xdr:row>
      <xdr:rowOff>4762</xdr:rowOff>
    </xdr:from>
    <xdr:to>
      <xdr:col>2</xdr:col>
      <xdr:colOff>323850</xdr:colOff>
      <xdr:row>37</xdr:row>
      <xdr:rowOff>71436</xdr:rowOff>
    </xdr:to>
    <xdr:graphicFrame macro="">
      <xdr:nvGraphicFramePr>
        <xdr:cNvPr id="74" name="Chart 73">
          <a:extLst>
            <a:ext uri="{FF2B5EF4-FFF2-40B4-BE49-F238E27FC236}">
              <a16:creationId xmlns:a16="http://schemas.microsoft.com/office/drawing/2014/main" id="{BA499909-63CD-4179-881E-35B8BFB5E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200024</xdr:colOff>
      <xdr:row>25</xdr:row>
      <xdr:rowOff>38100</xdr:rowOff>
    </xdr:from>
    <xdr:to>
      <xdr:col>8</xdr:col>
      <xdr:colOff>457198</xdr:colOff>
      <xdr:row>27</xdr:row>
      <xdr:rowOff>38100</xdr:rowOff>
    </xdr:to>
    <xdr:sp macro="" textlink="">
      <xdr:nvSpPr>
        <xdr:cNvPr id="75" name="TextBox 74">
          <a:extLst>
            <a:ext uri="{FF2B5EF4-FFF2-40B4-BE49-F238E27FC236}">
              <a16:creationId xmlns:a16="http://schemas.microsoft.com/office/drawing/2014/main" id="{9EB1C091-6962-402B-94E2-FFE98C0850AA}"/>
            </a:ext>
          </a:extLst>
        </xdr:cNvPr>
        <xdr:cNvSpPr txBox="1"/>
      </xdr:nvSpPr>
      <xdr:spPr>
        <a:xfrm>
          <a:off x="5000624" y="4019550"/>
          <a:ext cx="94297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Kulim park"/>
            </a:rPr>
            <a:t>Total</a:t>
          </a:r>
          <a:r>
            <a:rPr lang="en-US" sz="1100" baseline="0">
              <a:solidFill>
                <a:schemeClr val="bg1"/>
              </a:solidFill>
              <a:latin typeface="Kulim park"/>
            </a:rPr>
            <a:t> sales</a:t>
          </a:r>
          <a:endParaRPr lang="en-US" sz="1100">
            <a:solidFill>
              <a:schemeClr val="bg1"/>
            </a:solidFill>
            <a:latin typeface="Kulim park"/>
          </a:endParaRPr>
        </a:p>
      </xdr:txBody>
    </xdr:sp>
    <xdr:clientData/>
  </xdr:twoCellAnchor>
  <xdr:twoCellAnchor>
    <xdr:from>
      <xdr:col>0</xdr:col>
      <xdr:colOff>400050</xdr:colOff>
      <xdr:row>28</xdr:row>
      <xdr:rowOff>142875</xdr:rowOff>
    </xdr:from>
    <xdr:to>
      <xdr:col>2</xdr:col>
      <xdr:colOff>171449</xdr:colOff>
      <xdr:row>30</xdr:row>
      <xdr:rowOff>142875</xdr:rowOff>
    </xdr:to>
    <xdr:sp macro="" textlink="">
      <xdr:nvSpPr>
        <xdr:cNvPr id="76" name="TextBox 75">
          <a:extLst>
            <a:ext uri="{FF2B5EF4-FFF2-40B4-BE49-F238E27FC236}">
              <a16:creationId xmlns:a16="http://schemas.microsoft.com/office/drawing/2014/main" id="{FDA2B1C1-5F95-648B-6902-049190A946D0}"/>
            </a:ext>
          </a:extLst>
        </xdr:cNvPr>
        <xdr:cNvSpPr txBox="1"/>
      </xdr:nvSpPr>
      <xdr:spPr>
        <a:xfrm>
          <a:off x="400050" y="4667250"/>
          <a:ext cx="114299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chemeClr val="bg1"/>
              </a:solidFill>
              <a:latin typeface="Kulim park"/>
            </a:rPr>
            <a:t>Branch Office</a:t>
          </a:r>
        </a:p>
      </xdr:txBody>
    </xdr:sp>
    <xdr:clientData/>
  </xdr:twoCellAnchor>
  <xdr:twoCellAnchor>
    <xdr:from>
      <xdr:col>0</xdr:col>
      <xdr:colOff>371476</xdr:colOff>
      <xdr:row>31</xdr:row>
      <xdr:rowOff>85725</xdr:rowOff>
    </xdr:from>
    <xdr:to>
      <xdr:col>2</xdr:col>
      <xdr:colOff>47626</xdr:colOff>
      <xdr:row>32</xdr:row>
      <xdr:rowOff>171450</xdr:rowOff>
    </xdr:to>
    <xdr:sp macro="" textlink="">
      <xdr:nvSpPr>
        <xdr:cNvPr id="77" name="TextBox 76">
          <a:extLst>
            <a:ext uri="{FF2B5EF4-FFF2-40B4-BE49-F238E27FC236}">
              <a16:creationId xmlns:a16="http://schemas.microsoft.com/office/drawing/2014/main" id="{002F2AA1-328B-A3D1-B845-1C70B37EAE6B}"/>
            </a:ext>
          </a:extLst>
        </xdr:cNvPr>
        <xdr:cNvSpPr txBox="1"/>
      </xdr:nvSpPr>
      <xdr:spPr>
        <a:xfrm>
          <a:off x="371476" y="5153025"/>
          <a:ext cx="1047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chemeClr val="bg1"/>
              </a:solidFill>
              <a:latin typeface="Kulim park"/>
            </a:rPr>
            <a:t>Head Office</a:t>
          </a:r>
        </a:p>
      </xdr:txBody>
    </xdr:sp>
    <xdr:clientData/>
  </xdr:twoCellAnchor>
  <xdr:twoCellAnchor>
    <xdr:from>
      <xdr:col>0</xdr:col>
      <xdr:colOff>381001</xdr:colOff>
      <xdr:row>33</xdr:row>
      <xdr:rowOff>114300</xdr:rowOff>
    </xdr:from>
    <xdr:to>
      <xdr:col>1</xdr:col>
      <xdr:colOff>638175</xdr:colOff>
      <xdr:row>35</xdr:row>
      <xdr:rowOff>114300</xdr:rowOff>
    </xdr:to>
    <xdr:sp macro="" textlink="">
      <xdr:nvSpPr>
        <xdr:cNvPr id="78" name="TextBox 77">
          <a:extLst>
            <a:ext uri="{FF2B5EF4-FFF2-40B4-BE49-F238E27FC236}">
              <a16:creationId xmlns:a16="http://schemas.microsoft.com/office/drawing/2014/main" id="{A80AF741-57D8-2382-A94F-71748514E184}"/>
            </a:ext>
          </a:extLst>
        </xdr:cNvPr>
        <xdr:cNvSpPr txBox="1"/>
      </xdr:nvSpPr>
      <xdr:spPr>
        <a:xfrm>
          <a:off x="381001" y="5543550"/>
          <a:ext cx="94297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chemeClr val="bg1"/>
              </a:solidFill>
              <a:latin typeface="Kulim park"/>
            </a:rPr>
            <a:t>Remote</a:t>
          </a:r>
        </a:p>
      </xdr:txBody>
    </xdr:sp>
    <xdr:clientData/>
  </xdr:twoCellAnchor>
  <xdr:twoCellAnchor>
    <xdr:from>
      <xdr:col>2</xdr:col>
      <xdr:colOff>180976</xdr:colOff>
      <xdr:row>29</xdr:row>
      <xdr:rowOff>152400</xdr:rowOff>
    </xdr:from>
    <xdr:to>
      <xdr:col>2</xdr:col>
      <xdr:colOff>600076</xdr:colOff>
      <xdr:row>31</xdr:row>
      <xdr:rowOff>152400</xdr:rowOff>
    </xdr:to>
    <xdr:sp macro="" textlink="'Pivot tables'!N23">
      <xdr:nvSpPr>
        <xdr:cNvPr id="83" name="TextBox 82">
          <a:extLst>
            <a:ext uri="{FF2B5EF4-FFF2-40B4-BE49-F238E27FC236}">
              <a16:creationId xmlns:a16="http://schemas.microsoft.com/office/drawing/2014/main" id="{17C96005-83C8-4A31-1C6A-461E23DBCD7C}"/>
            </a:ext>
          </a:extLst>
        </xdr:cNvPr>
        <xdr:cNvSpPr txBox="1"/>
      </xdr:nvSpPr>
      <xdr:spPr>
        <a:xfrm>
          <a:off x="1552576" y="4857750"/>
          <a:ext cx="4191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4CFAE43-E3CE-401C-B19B-294898F028B5}" type="TxLink">
            <a:rPr lang="en-US" sz="900" b="0" i="0" u="none" strike="noStrike">
              <a:solidFill>
                <a:schemeClr val="bg1"/>
              </a:solidFill>
              <a:latin typeface="Kulim park"/>
              <a:ea typeface="+mn-ea"/>
              <a:cs typeface="+mn-cs"/>
            </a:rPr>
            <a:pPr marL="0" indent="0" algn="l"/>
            <a:t>46%</a:t>
          </a:fld>
          <a:endParaRPr lang="en-US" sz="900" b="0" i="0" u="none" strike="noStrike">
            <a:solidFill>
              <a:schemeClr val="bg1"/>
            </a:solidFill>
            <a:latin typeface="Kulim park"/>
            <a:ea typeface="+mn-ea"/>
            <a:cs typeface="+mn-cs"/>
          </a:endParaRPr>
        </a:p>
      </xdr:txBody>
    </xdr:sp>
    <xdr:clientData/>
  </xdr:twoCellAnchor>
  <xdr:twoCellAnchor>
    <xdr:from>
      <xdr:col>2</xdr:col>
      <xdr:colOff>180976</xdr:colOff>
      <xdr:row>32</xdr:row>
      <xdr:rowOff>85725</xdr:rowOff>
    </xdr:from>
    <xdr:to>
      <xdr:col>2</xdr:col>
      <xdr:colOff>581025</xdr:colOff>
      <xdr:row>34</xdr:row>
      <xdr:rowOff>85725</xdr:rowOff>
    </xdr:to>
    <xdr:sp macro="" textlink="'Pivot tables'!N24">
      <xdr:nvSpPr>
        <xdr:cNvPr id="84" name="TextBox 83">
          <a:extLst>
            <a:ext uri="{FF2B5EF4-FFF2-40B4-BE49-F238E27FC236}">
              <a16:creationId xmlns:a16="http://schemas.microsoft.com/office/drawing/2014/main" id="{78C3BCFF-A9E5-669D-1FF6-E134EE9530C2}"/>
            </a:ext>
          </a:extLst>
        </xdr:cNvPr>
        <xdr:cNvSpPr txBox="1"/>
      </xdr:nvSpPr>
      <xdr:spPr>
        <a:xfrm>
          <a:off x="1552576" y="5334000"/>
          <a:ext cx="40004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2F5694D-9983-4976-8638-FE8FA0656944}" type="TxLink">
            <a:rPr lang="en-US" sz="900" b="0" i="0" u="none" strike="noStrike">
              <a:solidFill>
                <a:schemeClr val="bg1"/>
              </a:solidFill>
              <a:latin typeface="Kulim park"/>
              <a:ea typeface="+mn-ea"/>
              <a:cs typeface="+mn-cs"/>
            </a:rPr>
            <a:pPr marL="0" indent="0" algn="l"/>
            <a:t>16%</a:t>
          </a:fld>
          <a:endParaRPr lang="en-US" sz="900" b="0" i="0" u="none" strike="noStrike">
            <a:solidFill>
              <a:schemeClr val="bg1"/>
            </a:solidFill>
            <a:latin typeface="Kulim park"/>
            <a:ea typeface="+mn-ea"/>
            <a:cs typeface="+mn-cs"/>
          </a:endParaRPr>
        </a:p>
      </xdr:txBody>
    </xdr:sp>
    <xdr:clientData/>
  </xdr:twoCellAnchor>
  <xdr:twoCellAnchor>
    <xdr:from>
      <xdr:col>2</xdr:col>
      <xdr:colOff>133351</xdr:colOff>
      <xdr:row>34</xdr:row>
      <xdr:rowOff>123825</xdr:rowOff>
    </xdr:from>
    <xdr:to>
      <xdr:col>2</xdr:col>
      <xdr:colOff>514350</xdr:colOff>
      <xdr:row>36</xdr:row>
      <xdr:rowOff>123825</xdr:rowOff>
    </xdr:to>
    <xdr:sp macro="" textlink="'Pivot tables'!N25">
      <xdr:nvSpPr>
        <xdr:cNvPr id="85" name="TextBox 84">
          <a:extLst>
            <a:ext uri="{FF2B5EF4-FFF2-40B4-BE49-F238E27FC236}">
              <a16:creationId xmlns:a16="http://schemas.microsoft.com/office/drawing/2014/main" id="{848B0139-A56C-98C8-10B2-3805307579CC}"/>
            </a:ext>
          </a:extLst>
        </xdr:cNvPr>
        <xdr:cNvSpPr txBox="1"/>
      </xdr:nvSpPr>
      <xdr:spPr>
        <a:xfrm>
          <a:off x="1504951" y="5734050"/>
          <a:ext cx="38099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3F097F4-716E-43B5-A6F9-E40D7F85A764}" type="TxLink">
            <a:rPr lang="en-US" sz="900" b="0" i="0" u="none" strike="noStrike">
              <a:solidFill>
                <a:schemeClr val="bg1"/>
              </a:solidFill>
              <a:latin typeface="Kulim park"/>
            </a:rPr>
            <a:t>38%</a:t>
          </a:fld>
          <a:endParaRPr lang="en-US" sz="800">
            <a:solidFill>
              <a:schemeClr val="bg1"/>
            </a:solidFill>
            <a:latin typeface="Kulim park"/>
          </a:endParaRPr>
        </a:p>
      </xdr:txBody>
    </xdr:sp>
    <xdr:clientData/>
  </xdr:twoCellAnchor>
  <xdr:twoCellAnchor>
    <xdr:from>
      <xdr:col>0</xdr:col>
      <xdr:colOff>457200</xdr:colOff>
      <xdr:row>25</xdr:row>
      <xdr:rowOff>114300</xdr:rowOff>
    </xdr:from>
    <xdr:to>
      <xdr:col>2</xdr:col>
      <xdr:colOff>685799</xdr:colOff>
      <xdr:row>27</xdr:row>
      <xdr:rowOff>114300</xdr:rowOff>
    </xdr:to>
    <xdr:sp macro="" textlink="">
      <xdr:nvSpPr>
        <xdr:cNvPr id="86" name="TextBox 85">
          <a:extLst>
            <a:ext uri="{FF2B5EF4-FFF2-40B4-BE49-F238E27FC236}">
              <a16:creationId xmlns:a16="http://schemas.microsoft.com/office/drawing/2014/main" id="{CAF4A130-1EAF-8441-CD25-041F5069C955}"/>
            </a:ext>
          </a:extLst>
        </xdr:cNvPr>
        <xdr:cNvSpPr txBox="1"/>
      </xdr:nvSpPr>
      <xdr:spPr>
        <a:xfrm>
          <a:off x="457200" y="4095750"/>
          <a:ext cx="160019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2B279"/>
              </a:solidFill>
              <a:latin typeface="Kulim park"/>
            </a:rPr>
            <a:t>Work</a:t>
          </a:r>
          <a:r>
            <a:rPr lang="en-US" sz="1400" b="1" baseline="0">
              <a:solidFill>
                <a:srgbClr val="F2B279"/>
              </a:solidFill>
              <a:latin typeface="Kulim park"/>
            </a:rPr>
            <a:t> Location</a:t>
          </a:r>
          <a:endParaRPr lang="en-US" sz="1400" b="1">
            <a:solidFill>
              <a:srgbClr val="F2B279"/>
            </a:solidFill>
            <a:latin typeface="Kulim park"/>
          </a:endParaRPr>
        </a:p>
      </xdr:txBody>
    </xdr:sp>
    <xdr:clientData/>
  </xdr:twoCellAnchor>
  <xdr:twoCellAnchor>
    <xdr:from>
      <xdr:col>0</xdr:col>
      <xdr:colOff>476250</xdr:colOff>
      <xdr:row>27</xdr:row>
      <xdr:rowOff>19049</xdr:rowOff>
    </xdr:from>
    <xdr:to>
      <xdr:col>3</xdr:col>
      <xdr:colOff>76200</xdr:colOff>
      <xdr:row>28</xdr:row>
      <xdr:rowOff>161925</xdr:rowOff>
    </xdr:to>
    <xdr:sp macro="" textlink="">
      <xdr:nvSpPr>
        <xdr:cNvPr id="87" name="TextBox 86">
          <a:extLst>
            <a:ext uri="{FF2B5EF4-FFF2-40B4-BE49-F238E27FC236}">
              <a16:creationId xmlns:a16="http://schemas.microsoft.com/office/drawing/2014/main" id="{DEE82166-2254-2756-2E5D-F6CFBC1061A2}"/>
            </a:ext>
          </a:extLst>
        </xdr:cNvPr>
        <xdr:cNvSpPr txBox="1"/>
      </xdr:nvSpPr>
      <xdr:spPr>
        <a:xfrm>
          <a:off x="476250" y="4362449"/>
          <a:ext cx="1657350"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1">
                  <a:lumMod val="40000"/>
                  <a:lumOff val="60000"/>
                </a:schemeClr>
              </a:solidFill>
              <a:latin typeface="Kulim park"/>
            </a:rPr>
            <a:t>Employees to</a:t>
          </a:r>
          <a:r>
            <a:rPr lang="en-US" sz="1000" b="0" baseline="0">
              <a:solidFill>
                <a:schemeClr val="accent1">
                  <a:lumMod val="40000"/>
                  <a:lumOff val="60000"/>
                </a:schemeClr>
              </a:solidFill>
              <a:latin typeface="Kulim park"/>
            </a:rPr>
            <a:t> work</a:t>
          </a:r>
          <a:endParaRPr lang="en-US" sz="1000" b="0">
            <a:solidFill>
              <a:schemeClr val="accent1">
                <a:lumMod val="40000"/>
                <a:lumOff val="60000"/>
              </a:schemeClr>
            </a:solidFill>
            <a:latin typeface="Kulim park"/>
          </a:endParaRPr>
        </a:p>
      </xdr:txBody>
    </xdr:sp>
    <xdr:clientData/>
  </xdr:twoCellAnchor>
  <xdr:twoCellAnchor>
    <xdr:from>
      <xdr:col>0</xdr:col>
      <xdr:colOff>514351</xdr:colOff>
      <xdr:row>15</xdr:row>
      <xdr:rowOff>66675</xdr:rowOff>
    </xdr:from>
    <xdr:to>
      <xdr:col>2</xdr:col>
      <xdr:colOff>323850</xdr:colOff>
      <xdr:row>17</xdr:row>
      <xdr:rowOff>66675</xdr:rowOff>
    </xdr:to>
    <xdr:sp macro="" textlink="">
      <xdr:nvSpPr>
        <xdr:cNvPr id="88" name="TextBox 87">
          <a:extLst>
            <a:ext uri="{FF2B5EF4-FFF2-40B4-BE49-F238E27FC236}">
              <a16:creationId xmlns:a16="http://schemas.microsoft.com/office/drawing/2014/main" id="{B734A700-51AF-1FB9-DA99-607B41256BD1}"/>
            </a:ext>
          </a:extLst>
        </xdr:cNvPr>
        <xdr:cNvSpPr txBox="1"/>
      </xdr:nvSpPr>
      <xdr:spPr>
        <a:xfrm>
          <a:off x="514351" y="2238375"/>
          <a:ext cx="118109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a:solidFill>
                <a:schemeClr val="bg1"/>
              </a:solidFill>
              <a:latin typeface="Kulim park"/>
            </a:rPr>
            <a:t>Communication</a:t>
          </a:r>
        </a:p>
      </xdr:txBody>
    </xdr:sp>
    <xdr:clientData/>
  </xdr:twoCellAnchor>
  <xdr:twoCellAnchor>
    <xdr:from>
      <xdr:col>0</xdr:col>
      <xdr:colOff>523876</xdr:colOff>
      <xdr:row>17</xdr:row>
      <xdr:rowOff>9525</xdr:rowOff>
    </xdr:from>
    <xdr:to>
      <xdr:col>2</xdr:col>
      <xdr:colOff>200026</xdr:colOff>
      <xdr:row>19</xdr:row>
      <xdr:rowOff>9525</xdr:rowOff>
    </xdr:to>
    <xdr:sp macro="" textlink="">
      <xdr:nvSpPr>
        <xdr:cNvPr id="89" name="TextBox 88">
          <a:extLst>
            <a:ext uri="{FF2B5EF4-FFF2-40B4-BE49-F238E27FC236}">
              <a16:creationId xmlns:a16="http://schemas.microsoft.com/office/drawing/2014/main" id="{61AB2B0B-B7AC-8E2D-CE18-8F4F19D3569B}"/>
            </a:ext>
          </a:extLst>
        </xdr:cNvPr>
        <xdr:cNvSpPr txBox="1"/>
      </xdr:nvSpPr>
      <xdr:spPr>
        <a:xfrm>
          <a:off x="523876" y="2543175"/>
          <a:ext cx="10477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a:solidFill>
                <a:schemeClr val="bg1"/>
              </a:solidFill>
              <a:latin typeface="Kulim park"/>
            </a:rPr>
            <a:t>Design</a:t>
          </a:r>
        </a:p>
      </xdr:txBody>
    </xdr:sp>
    <xdr:clientData/>
  </xdr:twoCellAnchor>
  <xdr:twoCellAnchor>
    <xdr:from>
      <xdr:col>0</xdr:col>
      <xdr:colOff>533401</xdr:colOff>
      <xdr:row>19</xdr:row>
      <xdr:rowOff>19050</xdr:rowOff>
    </xdr:from>
    <xdr:to>
      <xdr:col>2</xdr:col>
      <xdr:colOff>104775</xdr:colOff>
      <xdr:row>21</xdr:row>
      <xdr:rowOff>19050</xdr:rowOff>
    </xdr:to>
    <xdr:sp macro="" textlink="">
      <xdr:nvSpPr>
        <xdr:cNvPr id="90" name="TextBox 89">
          <a:extLst>
            <a:ext uri="{FF2B5EF4-FFF2-40B4-BE49-F238E27FC236}">
              <a16:creationId xmlns:a16="http://schemas.microsoft.com/office/drawing/2014/main" id="{DB3CBFD6-B54E-D292-5D91-F15A70048300}"/>
            </a:ext>
          </a:extLst>
        </xdr:cNvPr>
        <xdr:cNvSpPr txBox="1"/>
      </xdr:nvSpPr>
      <xdr:spPr>
        <a:xfrm>
          <a:off x="533401" y="2914650"/>
          <a:ext cx="94297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Kulim park"/>
            </a:rPr>
            <a:t>Excel</a:t>
          </a:r>
        </a:p>
      </xdr:txBody>
    </xdr:sp>
    <xdr:clientData/>
  </xdr:twoCellAnchor>
  <xdr:twoCellAnchor>
    <xdr:from>
      <xdr:col>0</xdr:col>
      <xdr:colOff>523876</xdr:colOff>
      <xdr:row>20</xdr:row>
      <xdr:rowOff>85725</xdr:rowOff>
    </xdr:from>
    <xdr:to>
      <xdr:col>2</xdr:col>
      <xdr:colOff>209550</xdr:colOff>
      <xdr:row>22</xdr:row>
      <xdr:rowOff>85725</xdr:rowOff>
    </xdr:to>
    <xdr:sp macro="" textlink="">
      <xdr:nvSpPr>
        <xdr:cNvPr id="91" name="TextBox 90">
          <a:extLst>
            <a:ext uri="{FF2B5EF4-FFF2-40B4-BE49-F238E27FC236}">
              <a16:creationId xmlns:a16="http://schemas.microsoft.com/office/drawing/2014/main" id="{FA45EB07-B497-D32A-7AF9-576D60F88250}"/>
            </a:ext>
          </a:extLst>
        </xdr:cNvPr>
        <xdr:cNvSpPr txBox="1"/>
      </xdr:nvSpPr>
      <xdr:spPr>
        <a:xfrm>
          <a:off x="523876" y="3162300"/>
          <a:ext cx="105727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a:solidFill>
                <a:schemeClr val="bg1"/>
              </a:solidFill>
              <a:latin typeface="Kulim park"/>
            </a:rPr>
            <a:t>Management</a:t>
          </a:r>
        </a:p>
      </xdr:txBody>
    </xdr:sp>
    <xdr:clientData/>
  </xdr:twoCellAnchor>
  <xdr:twoCellAnchor>
    <xdr:from>
      <xdr:col>0</xdr:col>
      <xdr:colOff>504826</xdr:colOff>
      <xdr:row>22</xdr:row>
      <xdr:rowOff>47625</xdr:rowOff>
    </xdr:from>
    <xdr:to>
      <xdr:col>2</xdr:col>
      <xdr:colOff>76200</xdr:colOff>
      <xdr:row>24</xdr:row>
      <xdr:rowOff>47625</xdr:rowOff>
    </xdr:to>
    <xdr:sp macro="" textlink="">
      <xdr:nvSpPr>
        <xdr:cNvPr id="92" name="TextBox 91">
          <a:extLst>
            <a:ext uri="{FF2B5EF4-FFF2-40B4-BE49-F238E27FC236}">
              <a16:creationId xmlns:a16="http://schemas.microsoft.com/office/drawing/2014/main" id="{247739EC-19ED-AA6D-8550-2FF993FA8B81}"/>
            </a:ext>
          </a:extLst>
        </xdr:cNvPr>
        <xdr:cNvSpPr txBox="1"/>
      </xdr:nvSpPr>
      <xdr:spPr>
        <a:xfrm>
          <a:off x="504826" y="3486150"/>
          <a:ext cx="94297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a:solidFill>
                <a:schemeClr val="bg1"/>
              </a:solidFill>
              <a:latin typeface="Kulim park"/>
            </a:rPr>
            <a:t>Python</a:t>
          </a:r>
        </a:p>
      </xdr:txBody>
    </xdr:sp>
    <xdr:clientData/>
  </xdr:twoCellAnchor>
  <xdr:twoCellAnchor>
    <xdr:from>
      <xdr:col>2</xdr:col>
      <xdr:colOff>219075</xdr:colOff>
      <xdr:row>15</xdr:row>
      <xdr:rowOff>76200</xdr:rowOff>
    </xdr:from>
    <xdr:to>
      <xdr:col>2</xdr:col>
      <xdr:colOff>647700</xdr:colOff>
      <xdr:row>17</xdr:row>
      <xdr:rowOff>76200</xdr:rowOff>
    </xdr:to>
    <xdr:sp macro="" textlink="'Pivot tables'!C29">
      <xdr:nvSpPr>
        <xdr:cNvPr id="93" name="TextBox 92">
          <a:extLst>
            <a:ext uri="{FF2B5EF4-FFF2-40B4-BE49-F238E27FC236}">
              <a16:creationId xmlns:a16="http://schemas.microsoft.com/office/drawing/2014/main" id="{81741F8E-AAB9-86C3-DDD1-C2856725EF6A}"/>
            </a:ext>
          </a:extLst>
        </xdr:cNvPr>
        <xdr:cNvSpPr txBox="1"/>
      </xdr:nvSpPr>
      <xdr:spPr>
        <a:xfrm>
          <a:off x="1590675" y="2247900"/>
          <a:ext cx="4286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D0F82F2-C93D-487A-957E-FCBA3EE953D7}" type="TxLink">
            <a:rPr lang="en-US" sz="1600" b="1" i="0" u="none" strike="noStrike">
              <a:solidFill>
                <a:srgbClr val="F2B279"/>
              </a:solidFill>
              <a:latin typeface="Kulim park"/>
              <a:ea typeface="+mn-ea"/>
              <a:cs typeface="+mn-cs"/>
            </a:rPr>
            <a:pPr marL="0" indent="0" algn="r"/>
            <a:t>12</a:t>
          </a:fld>
          <a:endParaRPr lang="en-US" sz="1600" b="1" i="0" u="none" strike="noStrike">
            <a:solidFill>
              <a:srgbClr val="F2B279"/>
            </a:solidFill>
            <a:latin typeface="Kulim park"/>
            <a:ea typeface="+mn-ea"/>
            <a:cs typeface="+mn-cs"/>
          </a:endParaRPr>
        </a:p>
      </xdr:txBody>
    </xdr:sp>
    <xdr:clientData/>
  </xdr:twoCellAnchor>
  <xdr:twoCellAnchor>
    <xdr:from>
      <xdr:col>2</xdr:col>
      <xdr:colOff>257174</xdr:colOff>
      <xdr:row>17</xdr:row>
      <xdr:rowOff>9525</xdr:rowOff>
    </xdr:from>
    <xdr:to>
      <xdr:col>2</xdr:col>
      <xdr:colOff>647700</xdr:colOff>
      <xdr:row>19</xdr:row>
      <xdr:rowOff>9525</xdr:rowOff>
    </xdr:to>
    <xdr:sp macro="" textlink="'Pivot tables'!C30">
      <xdr:nvSpPr>
        <xdr:cNvPr id="94" name="TextBox 93">
          <a:extLst>
            <a:ext uri="{FF2B5EF4-FFF2-40B4-BE49-F238E27FC236}">
              <a16:creationId xmlns:a16="http://schemas.microsoft.com/office/drawing/2014/main" id="{446A4471-B789-B872-A663-A23AFEC6BC34}"/>
            </a:ext>
          </a:extLst>
        </xdr:cNvPr>
        <xdr:cNvSpPr txBox="1"/>
      </xdr:nvSpPr>
      <xdr:spPr>
        <a:xfrm>
          <a:off x="1628774" y="2543175"/>
          <a:ext cx="39052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5C30068-F72B-4AE9-AFCD-6D963CAB1EB5}" type="TxLink">
            <a:rPr lang="en-US" sz="1600" b="1" i="0" u="none" strike="noStrike">
              <a:solidFill>
                <a:srgbClr val="F2B279"/>
              </a:solidFill>
              <a:latin typeface="Kulim park"/>
              <a:ea typeface="+mn-ea"/>
              <a:cs typeface="+mn-cs"/>
            </a:rPr>
            <a:pPr marL="0" indent="0" algn="r"/>
            <a:t>11</a:t>
          </a:fld>
          <a:endParaRPr lang="en-US" sz="1600" b="1" i="0" u="none" strike="noStrike">
            <a:solidFill>
              <a:srgbClr val="F2B279"/>
            </a:solidFill>
            <a:latin typeface="Kulim park"/>
            <a:ea typeface="+mn-ea"/>
            <a:cs typeface="+mn-cs"/>
          </a:endParaRPr>
        </a:p>
      </xdr:txBody>
    </xdr:sp>
    <xdr:clientData/>
  </xdr:twoCellAnchor>
  <xdr:twoCellAnchor>
    <xdr:from>
      <xdr:col>2</xdr:col>
      <xdr:colOff>219075</xdr:colOff>
      <xdr:row>18</xdr:row>
      <xdr:rowOff>161925</xdr:rowOff>
    </xdr:from>
    <xdr:to>
      <xdr:col>2</xdr:col>
      <xdr:colOff>561975</xdr:colOff>
      <xdr:row>20</xdr:row>
      <xdr:rowOff>161925</xdr:rowOff>
    </xdr:to>
    <xdr:sp macro="" textlink="'Pivot tables'!C31">
      <xdr:nvSpPr>
        <xdr:cNvPr id="95" name="TextBox 94">
          <a:extLst>
            <a:ext uri="{FF2B5EF4-FFF2-40B4-BE49-F238E27FC236}">
              <a16:creationId xmlns:a16="http://schemas.microsoft.com/office/drawing/2014/main" id="{4E95B342-AE8B-DEC7-BBBF-1260BFBEBE43}"/>
            </a:ext>
          </a:extLst>
        </xdr:cNvPr>
        <xdr:cNvSpPr txBox="1"/>
      </xdr:nvSpPr>
      <xdr:spPr>
        <a:xfrm>
          <a:off x="1590675" y="2876550"/>
          <a:ext cx="34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3BA9165-BCBA-4D1B-BFED-607DC070E0C4}" type="TxLink">
            <a:rPr lang="en-US" sz="1600" b="1" i="0" u="none" strike="noStrike">
              <a:solidFill>
                <a:srgbClr val="F2B279"/>
              </a:solidFill>
              <a:latin typeface="Kulim park"/>
              <a:ea typeface="+mn-ea"/>
              <a:cs typeface="+mn-cs"/>
            </a:rPr>
            <a:pPr marL="0" indent="0" algn="r"/>
            <a:t>7</a:t>
          </a:fld>
          <a:endParaRPr lang="en-US" sz="1600" b="1" i="0" u="none" strike="noStrike">
            <a:solidFill>
              <a:srgbClr val="F2B279"/>
            </a:solidFill>
            <a:latin typeface="Kulim park"/>
            <a:ea typeface="+mn-ea"/>
            <a:cs typeface="+mn-cs"/>
          </a:endParaRPr>
        </a:p>
      </xdr:txBody>
    </xdr:sp>
    <xdr:clientData/>
  </xdr:twoCellAnchor>
  <xdr:twoCellAnchor>
    <xdr:from>
      <xdr:col>2</xdr:col>
      <xdr:colOff>238125</xdr:colOff>
      <xdr:row>20</xdr:row>
      <xdr:rowOff>104775</xdr:rowOff>
    </xdr:from>
    <xdr:to>
      <xdr:col>2</xdr:col>
      <xdr:colOff>628650</xdr:colOff>
      <xdr:row>22</xdr:row>
      <xdr:rowOff>104775</xdr:rowOff>
    </xdr:to>
    <xdr:sp macro="" textlink="'Pivot tables'!C32">
      <xdr:nvSpPr>
        <xdr:cNvPr id="96" name="TextBox 95">
          <a:extLst>
            <a:ext uri="{FF2B5EF4-FFF2-40B4-BE49-F238E27FC236}">
              <a16:creationId xmlns:a16="http://schemas.microsoft.com/office/drawing/2014/main" id="{8C375092-4411-AC6B-7496-A2C4E7271358}"/>
            </a:ext>
          </a:extLst>
        </xdr:cNvPr>
        <xdr:cNvSpPr txBox="1"/>
      </xdr:nvSpPr>
      <xdr:spPr>
        <a:xfrm>
          <a:off x="1609725" y="3181350"/>
          <a:ext cx="3905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49F5430-D161-4773-B25C-5A8713FAB2BF}" type="TxLink">
            <a:rPr lang="en-US" sz="1600" b="1" i="0" u="none" strike="noStrike">
              <a:solidFill>
                <a:srgbClr val="F2B279"/>
              </a:solidFill>
              <a:latin typeface="Kulim park"/>
              <a:ea typeface="+mn-ea"/>
              <a:cs typeface="+mn-cs"/>
            </a:rPr>
            <a:pPr marL="0" indent="0" algn="r"/>
            <a:t>11</a:t>
          </a:fld>
          <a:endParaRPr lang="en-US" sz="1600" b="1" i="0" u="none" strike="noStrike">
            <a:solidFill>
              <a:srgbClr val="F2B279"/>
            </a:solidFill>
            <a:latin typeface="Kulim park"/>
            <a:ea typeface="+mn-ea"/>
            <a:cs typeface="+mn-cs"/>
          </a:endParaRPr>
        </a:p>
      </xdr:txBody>
    </xdr:sp>
    <xdr:clientData/>
  </xdr:twoCellAnchor>
  <xdr:twoCellAnchor>
    <xdr:from>
      <xdr:col>2</xdr:col>
      <xdr:colOff>190500</xdr:colOff>
      <xdr:row>22</xdr:row>
      <xdr:rowOff>76200</xdr:rowOff>
    </xdr:from>
    <xdr:to>
      <xdr:col>2</xdr:col>
      <xdr:colOff>504825</xdr:colOff>
      <xdr:row>24</xdr:row>
      <xdr:rowOff>76200</xdr:rowOff>
    </xdr:to>
    <xdr:sp macro="" textlink="'Pivot tables'!C33">
      <xdr:nvSpPr>
        <xdr:cNvPr id="97" name="TextBox 96">
          <a:extLst>
            <a:ext uri="{FF2B5EF4-FFF2-40B4-BE49-F238E27FC236}">
              <a16:creationId xmlns:a16="http://schemas.microsoft.com/office/drawing/2014/main" id="{01702EFB-77B3-3142-CF02-FC6EB203788C}"/>
            </a:ext>
          </a:extLst>
        </xdr:cNvPr>
        <xdr:cNvSpPr txBox="1"/>
      </xdr:nvSpPr>
      <xdr:spPr>
        <a:xfrm>
          <a:off x="1562100" y="3514725"/>
          <a:ext cx="3143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6B42187-1FA9-4DA6-A548-5C7AD28A99A7}" type="TxLink">
            <a:rPr lang="en-US" sz="1600" b="1" i="0" u="none" strike="noStrike">
              <a:solidFill>
                <a:srgbClr val="F2B279"/>
              </a:solidFill>
              <a:latin typeface="Kulim park"/>
              <a:ea typeface="+mn-ea"/>
              <a:cs typeface="+mn-cs"/>
            </a:rPr>
            <a:pPr marL="0" indent="0" algn="r"/>
            <a:t>9</a:t>
          </a:fld>
          <a:endParaRPr lang="en-US" sz="1600" b="1" i="0" u="none" strike="noStrike">
            <a:solidFill>
              <a:srgbClr val="F2B279"/>
            </a:solidFill>
            <a:latin typeface="Kulim park"/>
            <a:ea typeface="+mn-ea"/>
            <a:cs typeface="+mn-cs"/>
          </a:endParaRPr>
        </a:p>
      </xdr:txBody>
    </xdr:sp>
    <xdr:clientData/>
  </xdr:twoCellAnchor>
  <xdr:twoCellAnchor>
    <xdr:from>
      <xdr:col>0</xdr:col>
      <xdr:colOff>495302</xdr:colOff>
      <xdr:row>12</xdr:row>
      <xdr:rowOff>76200</xdr:rowOff>
    </xdr:from>
    <xdr:to>
      <xdr:col>2</xdr:col>
      <xdr:colOff>542926</xdr:colOff>
      <xdr:row>16</xdr:row>
      <xdr:rowOff>76200</xdr:rowOff>
    </xdr:to>
    <xdr:sp macro="" textlink="">
      <xdr:nvSpPr>
        <xdr:cNvPr id="98" name="TextBox 97">
          <a:extLst>
            <a:ext uri="{FF2B5EF4-FFF2-40B4-BE49-F238E27FC236}">
              <a16:creationId xmlns:a16="http://schemas.microsoft.com/office/drawing/2014/main" id="{E96B4082-642A-AB44-B915-246F66457331}"/>
            </a:ext>
          </a:extLst>
        </xdr:cNvPr>
        <xdr:cNvSpPr txBox="1"/>
      </xdr:nvSpPr>
      <xdr:spPr>
        <a:xfrm>
          <a:off x="495302" y="1704975"/>
          <a:ext cx="1419224"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rgbClr val="F2B279"/>
              </a:solidFill>
              <a:latin typeface="Kulim park"/>
            </a:rPr>
            <a:t>Skills </a:t>
          </a:r>
        </a:p>
        <a:p>
          <a:pPr algn="l"/>
          <a:r>
            <a:rPr lang="en-US" sz="1600" b="1">
              <a:solidFill>
                <a:srgbClr val="F2B279"/>
              </a:solidFill>
              <a:latin typeface="Kulim park"/>
            </a:rPr>
            <a:t>BreakDown</a:t>
          </a:r>
        </a:p>
      </xdr:txBody>
    </xdr:sp>
    <xdr:clientData/>
  </xdr:twoCellAnchor>
  <xdr:twoCellAnchor editAs="oneCell">
    <xdr:from>
      <xdr:col>1</xdr:col>
      <xdr:colOff>342901</xdr:colOff>
      <xdr:row>8</xdr:row>
      <xdr:rowOff>28575</xdr:rowOff>
    </xdr:from>
    <xdr:to>
      <xdr:col>3</xdr:col>
      <xdr:colOff>67015</xdr:colOff>
      <xdr:row>14</xdr:row>
      <xdr:rowOff>38439</xdr:rowOff>
    </xdr:to>
    <xdr:pic>
      <xdr:nvPicPr>
        <xdr:cNvPr id="104" name="Picture 103">
          <a:extLst>
            <a:ext uri="{FF2B5EF4-FFF2-40B4-BE49-F238E27FC236}">
              <a16:creationId xmlns:a16="http://schemas.microsoft.com/office/drawing/2014/main" id="{00CF22CA-5787-3CD0-7784-92BE3A93AAD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28701" y="933450"/>
          <a:ext cx="1095714" cy="1095714"/>
        </a:xfrm>
        <a:prstGeom prst="rect">
          <a:avLst/>
        </a:prstGeom>
      </xdr:spPr>
    </xdr:pic>
    <xdr:clientData/>
  </xdr:twoCellAnchor>
  <xdr:twoCellAnchor>
    <xdr:from>
      <xdr:col>3</xdr:col>
      <xdr:colOff>428626</xdr:colOff>
      <xdr:row>8</xdr:row>
      <xdr:rowOff>142874</xdr:rowOff>
    </xdr:from>
    <xdr:to>
      <xdr:col>4</xdr:col>
      <xdr:colOff>590550</xdr:colOff>
      <xdr:row>12</xdr:row>
      <xdr:rowOff>38099</xdr:rowOff>
    </xdr:to>
    <xdr:sp macro="" textlink="'Pivot tables'!J27">
      <xdr:nvSpPr>
        <xdr:cNvPr id="105" name="TextBox 104">
          <a:extLst>
            <a:ext uri="{FF2B5EF4-FFF2-40B4-BE49-F238E27FC236}">
              <a16:creationId xmlns:a16="http://schemas.microsoft.com/office/drawing/2014/main" id="{85633E10-CD4E-DF77-419F-8C7C32273290}"/>
            </a:ext>
          </a:extLst>
        </xdr:cNvPr>
        <xdr:cNvSpPr txBox="1"/>
      </xdr:nvSpPr>
      <xdr:spPr>
        <a:xfrm>
          <a:off x="2486026" y="1047749"/>
          <a:ext cx="847724"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FFC5E99-E2D8-4EE1-8CDA-E6722C7CAE04}" type="TxLink">
            <a:rPr lang="en-US" sz="5000" b="1" i="0" u="none" strike="noStrike">
              <a:solidFill>
                <a:schemeClr val="bg1"/>
              </a:solidFill>
              <a:latin typeface="Kulim park"/>
            </a:rPr>
            <a:pPr algn="l"/>
            <a:t>50</a:t>
          </a:fld>
          <a:endParaRPr lang="en-US" sz="5000" b="1">
            <a:solidFill>
              <a:schemeClr val="bg1"/>
            </a:solidFill>
            <a:latin typeface="Kulim park"/>
          </a:endParaRPr>
        </a:p>
      </xdr:txBody>
    </xdr:sp>
    <xdr:clientData/>
  </xdr:twoCellAnchor>
  <xdr:twoCellAnchor>
    <xdr:from>
      <xdr:col>3</xdr:col>
      <xdr:colOff>466726</xdr:colOff>
      <xdr:row>11</xdr:row>
      <xdr:rowOff>114300</xdr:rowOff>
    </xdr:from>
    <xdr:to>
      <xdr:col>5</xdr:col>
      <xdr:colOff>161926</xdr:colOff>
      <xdr:row>13</xdr:row>
      <xdr:rowOff>114300</xdr:rowOff>
    </xdr:to>
    <xdr:sp macro="" textlink="">
      <xdr:nvSpPr>
        <xdr:cNvPr id="106" name="TextBox 105">
          <a:extLst>
            <a:ext uri="{FF2B5EF4-FFF2-40B4-BE49-F238E27FC236}">
              <a16:creationId xmlns:a16="http://schemas.microsoft.com/office/drawing/2014/main" id="{1E0104A9-E03E-D35A-CA20-356AD5C68135}"/>
            </a:ext>
          </a:extLst>
        </xdr:cNvPr>
        <xdr:cNvSpPr txBox="1"/>
      </xdr:nvSpPr>
      <xdr:spPr>
        <a:xfrm>
          <a:off x="2524126" y="1562100"/>
          <a:ext cx="10668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chemeClr val="bg1"/>
              </a:solidFill>
              <a:latin typeface="Kulim park"/>
            </a:rPr>
            <a:t>Total Employees</a:t>
          </a:r>
        </a:p>
      </xdr:txBody>
    </xdr:sp>
    <xdr:clientData/>
  </xdr:twoCellAnchor>
  <xdr:twoCellAnchor>
    <xdr:from>
      <xdr:col>3</xdr:col>
      <xdr:colOff>523876</xdr:colOff>
      <xdr:row>7</xdr:row>
      <xdr:rowOff>47625</xdr:rowOff>
    </xdr:from>
    <xdr:to>
      <xdr:col>6</xdr:col>
      <xdr:colOff>114300</xdr:colOff>
      <xdr:row>9</xdr:row>
      <xdr:rowOff>47625</xdr:rowOff>
    </xdr:to>
    <xdr:sp macro="" textlink="">
      <xdr:nvSpPr>
        <xdr:cNvPr id="107" name="TextBox 106">
          <a:extLst>
            <a:ext uri="{FF2B5EF4-FFF2-40B4-BE49-F238E27FC236}">
              <a16:creationId xmlns:a16="http://schemas.microsoft.com/office/drawing/2014/main" id="{9A8395F8-E256-431E-099C-00571F5FEEC4}"/>
            </a:ext>
          </a:extLst>
        </xdr:cNvPr>
        <xdr:cNvSpPr txBox="1"/>
      </xdr:nvSpPr>
      <xdr:spPr>
        <a:xfrm>
          <a:off x="2581276" y="771525"/>
          <a:ext cx="164782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rgbClr val="F2B279"/>
              </a:solidFill>
              <a:latin typeface="Kulim park"/>
            </a:rPr>
            <a:t>Employees Number</a:t>
          </a:r>
        </a:p>
      </xdr:txBody>
    </xdr:sp>
    <xdr:clientData/>
  </xdr:twoCellAnchor>
  <xdr:twoCellAnchor editAs="oneCell">
    <xdr:from>
      <xdr:col>5</xdr:col>
      <xdr:colOff>504825</xdr:colOff>
      <xdr:row>8</xdr:row>
      <xdr:rowOff>19051</xdr:rowOff>
    </xdr:from>
    <xdr:to>
      <xdr:col>7</xdr:col>
      <xdr:colOff>57489</xdr:colOff>
      <xdr:row>13</xdr:row>
      <xdr:rowOff>38440</xdr:rowOff>
    </xdr:to>
    <xdr:pic>
      <xdr:nvPicPr>
        <xdr:cNvPr id="109" name="Picture 108">
          <a:extLst>
            <a:ext uri="{FF2B5EF4-FFF2-40B4-BE49-F238E27FC236}">
              <a16:creationId xmlns:a16="http://schemas.microsoft.com/office/drawing/2014/main" id="{A1606CB8-B169-6D4C-BD98-47A53DAAB49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933825" y="923926"/>
          <a:ext cx="924264" cy="924264"/>
        </a:xfrm>
        <a:prstGeom prst="rect">
          <a:avLst/>
        </a:prstGeom>
      </xdr:spPr>
    </xdr:pic>
    <xdr:clientData/>
  </xdr:twoCellAnchor>
  <xdr:twoCellAnchor>
    <xdr:from>
      <xdr:col>3</xdr:col>
      <xdr:colOff>381001</xdr:colOff>
      <xdr:row>14</xdr:row>
      <xdr:rowOff>66675</xdr:rowOff>
    </xdr:from>
    <xdr:to>
      <xdr:col>4</xdr:col>
      <xdr:colOff>361950</xdr:colOff>
      <xdr:row>16</xdr:row>
      <xdr:rowOff>66675</xdr:rowOff>
    </xdr:to>
    <xdr:sp macro="" textlink="">
      <xdr:nvSpPr>
        <xdr:cNvPr id="110" name="TextBox 109">
          <a:extLst>
            <a:ext uri="{FF2B5EF4-FFF2-40B4-BE49-F238E27FC236}">
              <a16:creationId xmlns:a16="http://schemas.microsoft.com/office/drawing/2014/main" id="{A05098E3-0D67-A4E7-81D9-7E75A812D0A0}"/>
            </a:ext>
          </a:extLst>
        </xdr:cNvPr>
        <xdr:cNvSpPr txBox="1"/>
      </xdr:nvSpPr>
      <xdr:spPr>
        <a:xfrm>
          <a:off x="2438401" y="2057400"/>
          <a:ext cx="66674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rgbClr val="F2B279"/>
              </a:solidFill>
              <a:latin typeface="Kulim park"/>
            </a:rPr>
            <a:t>Males</a:t>
          </a:r>
        </a:p>
      </xdr:txBody>
    </xdr:sp>
    <xdr:clientData/>
  </xdr:twoCellAnchor>
  <xdr:twoCellAnchor>
    <xdr:from>
      <xdr:col>5</xdr:col>
      <xdr:colOff>266701</xdr:colOff>
      <xdr:row>14</xdr:row>
      <xdr:rowOff>57150</xdr:rowOff>
    </xdr:from>
    <xdr:to>
      <xdr:col>6</xdr:col>
      <xdr:colOff>390525</xdr:colOff>
      <xdr:row>16</xdr:row>
      <xdr:rowOff>57150</xdr:rowOff>
    </xdr:to>
    <xdr:sp macro="" textlink="">
      <xdr:nvSpPr>
        <xdr:cNvPr id="111" name="TextBox 110">
          <a:extLst>
            <a:ext uri="{FF2B5EF4-FFF2-40B4-BE49-F238E27FC236}">
              <a16:creationId xmlns:a16="http://schemas.microsoft.com/office/drawing/2014/main" id="{04E4CA21-09E0-A9A6-34A6-0A9552018274}"/>
            </a:ext>
          </a:extLst>
        </xdr:cNvPr>
        <xdr:cNvSpPr txBox="1"/>
      </xdr:nvSpPr>
      <xdr:spPr>
        <a:xfrm>
          <a:off x="3695701" y="2047875"/>
          <a:ext cx="80962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rgbClr val="F2B279"/>
              </a:solidFill>
              <a:latin typeface="Kulim park"/>
            </a:rPr>
            <a:t>Females</a:t>
          </a:r>
        </a:p>
      </xdr:txBody>
    </xdr:sp>
    <xdr:clientData/>
  </xdr:twoCellAnchor>
  <xdr:twoCellAnchor>
    <xdr:from>
      <xdr:col>5</xdr:col>
      <xdr:colOff>323849</xdr:colOff>
      <xdr:row>15</xdr:row>
      <xdr:rowOff>66675</xdr:rowOff>
    </xdr:from>
    <xdr:to>
      <xdr:col>6</xdr:col>
      <xdr:colOff>504826</xdr:colOff>
      <xdr:row>20</xdr:row>
      <xdr:rowOff>85726</xdr:rowOff>
    </xdr:to>
    <xdr:graphicFrame macro="">
      <xdr:nvGraphicFramePr>
        <xdr:cNvPr id="120" name="Chart 119">
          <a:extLst>
            <a:ext uri="{FF2B5EF4-FFF2-40B4-BE49-F238E27FC236}">
              <a16:creationId xmlns:a16="http://schemas.microsoft.com/office/drawing/2014/main" id="{46CAD6B1-A8B6-4947-ADFD-3DEE20417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419098</xdr:colOff>
      <xdr:row>15</xdr:row>
      <xdr:rowOff>85725</xdr:rowOff>
    </xdr:from>
    <xdr:to>
      <xdr:col>4</xdr:col>
      <xdr:colOff>600075</xdr:colOff>
      <xdr:row>20</xdr:row>
      <xdr:rowOff>104776</xdr:rowOff>
    </xdr:to>
    <xdr:graphicFrame macro="">
      <xdr:nvGraphicFramePr>
        <xdr:cNvPr id="121" name="Chart 120">
          <a:extLst>
            <a:ext uri="{FF2B5EF4-FFF2-40B4-BE49-F238E27FC236}">
              <a16:creationId xmlns:a16="http://schemas.microsoft.com/office/drawing/2014/main" id="{D1067EE3-4410-4B0E-9978-94BA45A14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647700</xdr:colOff>
      <xdr:row>17</xdr:row>
      <xdr:rowOff>0</xdr:rowOff>
    </xdr:from>
    <xdr:to>
      <xdr:col>4</xdr:col>
      <xdr:colOff>457199</xdr:colOff>
      <xdr:row>19</xdr:row>
      <xdr:rowOff>0</xdr:rowOff>
    </xdr:to>
    <xdr:sp macro="" textlink="'Pivot tables'!I29">
      <xdr:nvSpPr>
        <xdr:cNvPr id="122" name="TextBox 121">
          <a:extLst>
            <a:ext uri="{FF2B5EF4-FFF2-40B4-BE49-F238E27FC236}">
              <a16:creationId xmlns:a16="http://schemas.microsoft.com/office/drawing/2014/main" id="{1ED2707F-EC1F-76C4-622F-359BA6D901FB}"/>
            </a:ext>
          </a:extLst>
        </xdr:cNvPr>
        <xdr:cNvSpPr txBox="1"/>
      </xdr:nvSpPr>
      <xdr:spPr>
        <a:xfrm>
          <a:off x="2705100" y="2533650"/>
          <a:ext cx="49529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CBC7FAA-2480-4D5F-AB5B-321C206EA2C6}" type="TxLink">
            <a:rPr lang="en-US" sz="1400" b="1" i="0" u="none" strike="noStrike">
              <a:solidFill>
                <a:schemeClr val="bg1"/>
              </a:solidFill>
              <a:latin typeface="Kulim park"/>
              <a:ea typeface="+mn-ea"/>
              <a:cs typeface="+mn-cs"/>
            </a:rPr>
            <a:pPr marL="0" indent="0" algn="l"/>
            <a:t>48%</a:t>
          </a:fld>
          <a:endParaRPr lang="en-US" sz="1400" b="1" i="0" u="none" strike="noStrike">
            <a:solidFill>
              <a:schemeClr val="bg1"/>
            </a:solidFill>
            <a:latin typeface="Kulim park"/>
            <a:ea typeface="+mn-ea"/>
            <a:cs typeface="+mn-cs"/>
          </a:endParaRPr>
        </a:p>
      </xdr:txBody>
    </xdr:sp>
    <xdr:clientData/>
  </xdr:twoCellAnchor>
  <xdr:twoCellAnchor>
    <xdr:from>
      <xdr:col>5</xdr:col>
      <xdr:colOff>542925</xdr:colOff>
      <xdr:row>16</xdr:row>
      <xdr:rowOff>171450</xdr:rowOff>
    </xdr:from>
    <xdr:to>
      <xdr:col>6</xdr:col>
      <xdr:colOff>352424</xdr:colOff>
      <xdr:row>18</xdr:row>
      <xdr:rowOff>171450</xdr:rowOff>
    </xdr:to>
    <xdr:sp macro="" textlink="'Pivot tables'!I30">
      <xdr:nvSpPr>
        <xdr:cNvPr id="123" name="TextBox 122">
          <a:extLst>
            <a:ext uri="{FF2B5EF4-FFF2-40B4-BE49-F238E27FC236}">
              <a16:creationId xmlns:a16="http://schemas.microsoft.com/office/drawing/2014/main" id="{60FC5B96-B729-5129-01EE-BD074432EBDE}"/>
            </a:ext>
          </a:extLst>
        </xdr:cNvPr>
        <xdr:cNvSpPr txBox="1"/>
      </xdr:nvSpPr>
      <xdr:spPr>
        <a:xfrm>
          <a:off x="3971925" y="2524125"/>
          <a:ext cx="49529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40631DE-4C90-4C22-BC20-65932FE0E70C}" type="TxLink">
            <a:rPr lang="en-US" sz="1400" b="1" i="0" u="none" strike="noStrike">
              <a:solidFill>
                <a:schemeClr val="bg1"/>
              </a:solidFill>
              <a:latin typeface="Kulim park"/>
              <a:ea typeface="+mn-ea"/>
              <a:cs typeface="+mn-cs"/>
            </a:rPr>
            <a:pPr marL="0" indent="0" algn="l"/>
            <a:t>52%</a:t>
          </a:fld>
          <a:endParaRPr lang="en-US" sz="1400" b="1" i="0" u="none" strike="noStrike">
            <a:solidFill>
              <a:schemeClr val="bg1"/>
            </a:solidFill>
            <a:latin typeface="Kulim park"/>
            <a:ea typeface="+mn-ea"/>
            <a:cs typeface="+mn-cs"/>
          </a:endParaRPr>
        </a:p>
      </xdr:txBody>
    </xdr:sp>
    <xdr:clientData/>
  </xdr:twoCellAnchor>
  <xdr:twoCellAnchor>
    <xdr:from>
      <xdr:col>7</xdr:col>
      <xdr:colOff>171450</xdr:colOff>
      <xdr:row>9</xdr:row>
      <xdr:rowOff>114300</xdr:rowOff>
    </xdr:from>
    <xdr:to>
      <xdr:col>10</xdr:col>
      <xdr:colOff>523875</xdr:colOff>
      <xdr:row>21</xdr:row>
      <xdr:rowOff>95250</xdr:rowOff>
    </xdr:to>
    <xdr:graphicFrame macro="">
      <xdr:nvGraphicFramePr>
        <xdr:cNvPr id="124" name="Chart 123">
          <a:extLst>
            <a:ext uri="{FF2B5EF4-FFF2-40B4-BE49-F238E27FC236}">
              <a16:creationId xmlns:a16="http://schemas.microsoft.com/office/drawing/2014/main" id="{6F52B953-ED03-47DE-B496-B8826FEFD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447676</xdr:colOff>
      <xdr:row>17</xdr:row>
      <xdr:rowOff>114300</xdr:rowOff>
    </xdr:from>
    <xdr:to>
      <xdr:col>8</xdr:col>
      <xdr:colOff>333375</xdr:colOff>
      <xdr:row>19</xdr:row>
      <xdr:rowOff>19050</xdr:rowOff>
    </xdr:to>
    <xdr:sp macro="" textlink="">
      <xdr:nvSpPr>
        <xdr:cNvPr id="125" name="TextBox 124">
          <a:extLst>
            <a:ext uri="{FF2B5EF4-FFF2-40B4-BE49-F238E27FC236}">
              <a16:creationId xmlns:a16="http://schemas.microsoft.com/office/drawing/2014/main" id="{CA93D97C-706C-A614-42BA-2CED31703F66}"/>
            </a:ext>
          </a:extLst>
        </xdr:cNvPr>
        <xdr:cNvSpPr txBox="1"/>
      </xdr:nvSpPr>
      <xdr:spPr>
        <a:xfrm>
          <a:off x="5248276" y="2647950"/>
          <a:ext cx="5714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solidFill>
                <a:schemeClr val="bg1"/>
              </a:solidFill>
              <a:latin typeface="Kulim park"/>
            </a:rPr>
            <a:t>Analyst</a:t>
          </a:r>
        </a:p>
      </xdr:txBody>
    </xdr:sp>
    <xdr:clientData/>
  </xdr:twoCellAnchor>
  <xdr:twoCellAnchor>
    <xdr:from>
      <xdr:col>7</xdr:col>
      <xdr:colOff>381001</xdr:colOff>
      <xdr:row>18</xdr:row>
      <xdr:rowOff>28576</xdr:rowOff>
    </xdr:from>
    <xdr:to>
      <xdr:col>7</xdr:col>
      <xdr:colOff>485775</xdr:colOff>
      <xdr:row>18</xdr:row>
      <xdr:rowOff>123826</xdr:rowOff>
    </xdr:to>
    <xdr:sp macro="" textlink="">
      <xdr:nvSpPr>
        <xdr:cNvPr id="126" name="Oval 125">
          <a:extLst>
            <a:ext uri="{FF2B5EF4-FFF2-40B4-BE49-F238E27FC236}">
              <a16:creationId xmlns:a16="http://schemas.microsoft.com/office/drawing/2014/main" id="{F16EAA5A-468E-9170-5D89-36931C9DAE51}"/>
            </a:ext>
          </a:extLst>
        </xdr:cNvPr>
        <xdr:cNvSpPr/>
      </xdr:nvSpPr>
      <xdr:spPr>
        <a:xfrm>
          <a:off x="5181601" y="2743201"/>
          <a:ext cx="104774" cy="95250"/>
        </a:xfrm>
        <a:prstGeom prst="ellipse">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438151</xdr:colOff>
      <xdr:row>18</xdr:row>
      <xdr:rowOff>161925</xdr:rowOff>
    </xdr:from>
    <xdr:to>
      <xdr:col>8</xdr:col>
      <xdr:colOff>428625</xdr:colOff>
      <xdr:row>20</xdr:row>
      <xdr:rowOff>66675</xdr:rowOff>
    </xdr:to>
    <xdr:sp macro="" textlink="">
      <xdr:nvSpPr>
        <xdr:cNvPr id="127" name="TextBox 126">
          <a:extLst>
            <a:ext uri="{FF2B5EF4-FFF2-40B4-BE49-F238E27FC236}">
              <a16:creationId xmlns:a16="http://schemas.microsoft.com/office/drawing/2014/main" id="{4A8B2A37-E698-EC84-8578-DAF3DC89A8FF}"/>
            </a:ext>
          </a:extLst>
        </xdr:cNvPr>
        <xdr:cNvSpPr txBox="1"/>
      </xdr:nvSpPr>
      <xdr:spPr>
        <a:xfrm>
          <a:off x="5238751" y="2876550"/>
          <a:ext cx="6762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solidFill>
                <a:schemeClr val="bg1"/>
              </a:solidFill>
              <a:latin typeface="Kulim park"/>
            </a:rPr>
            <a:t>Developer</a:t>
          </a:r>
        </a:p>
      </xdr:txBody>
    </xdr:sp>
    <xdr:clientData/>
  </xdr:twoCellAnchor>
  <xdr:twoCellAnchor>
    <xdr:from>
      <xdr:col>7</xdr:col>
      <xdr:colOff>371476</xdr:colOff>
      <xdr:row>19</xdr:row>
      <xdr:rowOff>76201</xdr:rowOff>
    </xdr:from>
    <xdr:to>
      <xdr:col>7</xdr:col>
      <xdr:colOff>476250</xdr:colOff>
      <xdr:row>19</xdr:row>
      <xdr:rowOff>171451</xdr:rowOff>
    </xdr:to>
    <xdr:sp macro="" textlink="">
      <xdr:nvSpPr>
        <xdr:cNvPr id="128" name="Oval 127">
          <a:extLst>
            <a:ext uri="{FF2B5EF4-FFF2-40B4-BE49-F238E27FC236}">
              <a16:creationId xmlns:a16="http://schemas.microsoft.com/office/drawing/2014/main" id="{7FE9D9CF-D19A-DBB3-12C9-DAAF605B8327}"/>
            </a:ext>
          </a:extLst>
        </xdr:cNvPr>
        <xdr:cNvSpPr/>
      </xdr:nvSpPr>
      <xdr:spPr>
        <a:xfrm>
          <a:off x="5172076" y="2971801"/>
          <a:ext cx="104774" cy="95250"/>
        </a:xfrm>
        <a:prstGeom prst="ellipse">
          <a:avLst/>
        </a:prstGeom>
        <a:solidFill>
          <a:srgbClr val="6DE1D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447676</xdr:colOff>
      <xdr:row>17</xdr:row>
      <xdr:rowOff>114300</xdr:rowOff>
    </xdr:from>
    <xdr:to>
      <xdr:col>9</xdr:col>
      <xdr:colOff>552450</xdr:colOff>
      <xdr:row>19</xdr:row>
      <xdr:rowOff>19050</xdr:rowOff>
    </xdr:to>
    <xdr:sp macro="" textlink="">
      <xdr:nvSpPr>
        <xdr:cNvPr id="129" name="TextBox 128">
          <a:extLst>
            <a:ext uri="{FF2B5EF4-FFF2-40B4-BE49-F238E27FC236}">
              <a16:creationId xmlns:a16="http://schemas.microsoft.com/office/drawing/2014/main" id="{F9807771-D6D5-4241-61D2-A1FABCA2C97E}"/>
            </a:ext>
          </a:extLst>
        </xdr:cNvPr>
        <xdr:cNvSpPr txBox="1"/>
      </xdr:nvSpPr>
      <xdr:spPr>
        <a:xfrm>
          <a:off x="5934076" y="2647950"/>
          <a:ext cx="7905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solidFill>
                <a:schemeClr val="bg1"/>
              </a:solidFill>
              <a:latin typeface="Kulim park"/>
            </a:rPr>
            <a:t>Manager</a:t>
          </a:r>
        </a:p>
      </xdr:txBody>
    </xdr:sp>
    <xdr:clientData/>
  </xdr:twoCellAnchor>
  <xdr:twoCellAnchor>
    <xdr:from>
      <xdr:col>8</xdr:col>
      <xdr:colOff>381001</xdr:colOff>
      <xdr:row>18</xdr:row>
      <xdr:rowOff>28576</xdr:rowOff>
    </xdr:from>
    <xdr:to>
      <xdr:col>8</xdr:col>
      <xdr:colOff>485775</xdr:colOff>
      <xdr:row>18</xdr:row>
      <xdr:rowOff>123826</xdr:rowOff>
    </xdr:to>
    <xdr:sp macro="" textlink="">
      <xdr:nvSpPr>
        <xdr:cNvPr id="130" name="Oval 129">
          <a:extLst>
            <a:ext uri="{FF2B5EF4-FFF2-40B4-BE49-F238E27FC236}">
              <a16:creationId xmlns:a16="http://schemas.microsoft.com/office/drawing/2014/main" id="{76C4435B-97B4-FE17-71E6-891161CF56BC}"/>
            </a:ext>
          </a:extLst>
        </xdr:cNvPr>
        <xdr:cNvSpPr/>
      </xdr:nvSpPr>
      <xdr:spPr>
        <a:xfrm>
          <a:off x="5867401" y="2743201"/>
          <a:ext cx="104774" cy="95250"/>
        </a:xfrm>
        <a:prstGeom prst="ellipse">
          <a:avLst/>
        </a:prstGeom>
        <a:solidFill>
          <a:srgbClr val="F2B27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447676</xdr:colOff>
      <xdr:row>18</xdr:row>
      <xdr:rowOff>161925</xdr:rowOff>
    </xdr:from>
    <xdr:to>
      <xdr:col>9</xdr:col>
      <xdr:colOff>400050</xdr:colOff>
      <xdr:row>20</xdr:row>
      <xdr:rowOff>66675</xdr:rowOff>
    </xdr:to>
    <xdr:sp macro="" textlink="">
      <xdr:nvSpPr>
        <xdr:cNvPr id="131" name="TextBox 130">
          <a:extLst>
            <a:ext uri="{FF2B5EF4-FFF2-40B4-BE49-F238E27FC236}">
              <a16:creationId xmlns:a16="http://schemas.microsoft.com/office/drawing/2014/main" id="{3E2B1E2D-947F-FBD5-AC97-9C22F84B5387}"/>
            </a:ext>
          </a:extLst>
        </xdr:cNvPr>
        <xdr:cNvSpPr txBox="1"/>
      </xdr:nvSpPr>
      <xdr:spPr>
        <a:xfrm>
          <a:off x="5934076" y="2876550"/>
          <a:ext cx="6381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solidFill>
                <a:schemeClr val="bg1"/>
              </a:solidFill>
              <a:latin typeface="Kulim park"/>
            </a:rPr>
            <a:t>Designer</a:t>
          </a:r>
        </a:p>
      </xdr:txBody>
    </xdr:sp>
    <xdr:clientData/>
  </xdr:twoCellAnchor>
  <xdr:twoCellAnchor>
    <xdr:from>
      <xdr:col>8</xdr:col>
      <xdr:colOff>381001</xdr:colOff>
      <xdr:row>19</xdr:row>
      <xdr:rowOff>76201</xdr:rowOff>
    </xdr:from>
    <xdr:to>
      <xdr:col>8</xdr:col>
      <xdr:colOff>485775</xdr:colOff>
      <xdr:row>19</xdr:row>
      <xdr:rowOff>171451</xdr:rowOff>
    </xdr:to>
    <xdr:sp macro="" textlink="">
      <xdr:nvSpPr>
        <xdr:cNvPr id="132" name="Oval 131">
          <a:extLst>
            <a:ext uri="{FF2B5EF4-FFF2-40B4-BE49-F238E27FC236}">
              <a16:creationId xmlns:a16="http://schemas.microsoft.com/office/drawing/2014/main" id="{B0C0929A-0CEF-A9EF-0A65-0C2B2BC07C65}"/>
            </a:ext>
          </a:extLst>
        </xdr:cNvPr>
        <xdr:cNvSpPr/>
      </xdr:nvSpPr>
      <xdr:spPr>
        <a:xfrm>
          <a:off x="5867401" y="2971801"/>
          <a:ext cx="104774" cy="95250"/>
        </a:xfrm>
        <a:prstGeom prst="ellipse">
          <a:avLst/>
        </a:prstGeom>
        <a:solidFill>
          <a:srgbClr val="ED88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428626</xdr:colOff>
      <xdr:row>17</xdr:row>
      <xdr:rowOff>114300</xdr:rowOff>
    </xdr:from>
    <xdr:to>
      <xdr:col>11</xdr:col>
      <xdr:colOff>0</xdr:colOff>
      <xdr:row>19</xdr:row>
      <xdr:rowOff>19050</xdr:rowOff>
    </xdr:to>
    <xdr:sp macro="" textlink="">
      <xdr:nvSpPr>
        <xdr:cNvPr id="133" name="TextBox 132">
          <a:extLst>
            <a:ext uri="{FF2B5EF4-FFF2-40B4-BE49-F238E27FC236}">
              <a16:creationId xmlns:a16="http://schemas.microsoft.com/office/drawing/2014/main" id="{7E12F800-D411-9F76-61D2-B5D3BC6FDCF9}"/>
            </a:ext>
          </a:extLst>
        </xdr:cNvPr>
        <xdr:cNvSpPr txBox="1"/>
      </xdr:nvSpPr>
      <xdr:spPr>
        <a:xfrm>
          <a:off x="6600826" y="2647950"/>
          <a:ext cx="9429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solidFill>
                <a:schemeClr val="bg1"/>
              </a:solidFill>
              <a:latin typeface="Kulim park"/>
            </a:rPr>
            <a:t>HR Specialist</a:t>
          </a:r>
        </a:p>
      </xdr:txBody>
    </xdr:sp>
    <xdr:clientData/>
  </xdr:twoCellAnchor>
  <xdr:twoCellAnchor>
    <xdr:from>
      <xdr:col>9</xdr:col>
      <xdr:colOff>361951</xdr:colOff>
      <xdr:row>18</xdr:row>
      <xdr:rowOff>28576</xdr:rowOff>
    </xdr:from>
    <xdr:to>
      <xdr:col>9</xdr:col>
      <xdr:colOff>466725</xdr:colOff>
      <xdr:row>18</xdr:row>
      <xdr:rowOff>123826</xdr:rowOff>
    </xdr:to>
    <xdr:sp macro="" textlink="">
      <xdr:nvSpPr>
        <xdr:cNvPr id="134" name="Oval 133">
          <a:extLst>
            <a:ext uri="{FF2B5EF4-FFF2-40B4-BE49-F238E27FC236}">
              <a16:creationId xmlns:a16="http://schemas.microsoft.com/office/drawing/2014/main" id="{0463E115-0383-C106-47F4-C1177E8BFB01}"/>
            </a:ext>
          </a:extLst>
        </xdr:cNvPr>
        <xdr:cNvSpPr/>
      </xdr:nvSpPr>
      <xdr:spPr>
        <a:xfrm>
          <a:off x="6534151" y="2743201"/>
          <a:ext cx="104774" cy="95250"/>
        </a:xfrm>
        <a:prstGeom prst="ellipse">
          <a:avLst/>
        </a:prstGeom>
        <a:solidFill>
          <a:srgbClr val="0F4C8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352425</xdr:colOff>
      <xdr:row>7</xdr:row>
      <xdr:rowOff>95250</xdr:rowOff>
    </xdr:from>
    <xdr:to>
      <xdr:col>9</xdr:col>
      <xdr:colOff>409574</xdr:colOff>
      <xdr:row>9</xdr:row>
      <xdr:rowOff>95250</xdr:rowOff>
    </xdr:to>
    <xdr:sp macro="" textlink="">
      <xdr:nvSpPr>
        <xdr:cNvPr id="139" name="TextBox 138">
          <a:extLst>
            <a:ext uri="{FF2B5EF4-FFF2-40B4-BE49-F238E27FC236}">
              <a16:creationId xmlns:a16="http://schemas.microsoft.com/office/drawing/2014/main" id="{ABC69C0F-AAF6-6EAD-CD82-8C83203C6BA2}"/>
            </a:ext>
          </a:extLst>
        </xdr:cNvPr>
        <xdr:cNvSpPr txBox="1"/>
      </xdr:nvSpPr>
      <xdr:spPr>
        <a:xfrm>
          <a:off x="5153025" y="819150"/>
          <a:ext cx="142874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2B279"/>
              </a:solidFill>
              <a:latin typeface="Kulim park"/>
            </a:rPr>
            <a:t>Leave Tracking  </a:t>
          </a:r>
        </a:p>
      </xdr:txBody>
    </xdr:sp>
    <xdr:clientData/>
  </xdr:twoCellAnchor>
  <xdr:twoCellAnchor>
    <xdr:from>
      <xdr:col>7</xdr:col>
      <xdr:colOff>323850</xdr:colOff>
      <xdr:row>8</xdr:row>
      <xdr:rowOff>142875</xdr:rowOff>
    </xdr:from>
    <xdr:to>
      <xdr:col>10</xdr:col>
      <xdr:colOff>400050</xdr:colOff>
      <xdr:row>10</xdr:row>
      <xdr:rowOff>142875</xdr:rowOff>
    </xdr:to>
    <xdr:sp macro="" textlink="">
      <xdr:nvSpPr>
        <xdr:cNvPr id="140" name="TextBox 139">
          <a:extLst>
            <a:ext uri="{FF2B5EF4-FFF2-40B4-BE49-F238E27FC236}">
              <a16:creationId xmlns:a16="http://schemas.microsoft.com/office/drawing/2014/main" id="{6898DEC9-9625-3A3C-7ECE-59BF43F73FEA}"/>
            </a:ext>
          </a:extLst>
        </xdr:cNvPr>
        <xdr:cNvSpPr txBox="1"/>
      </xdr:nvSpPr>
      <xdr:spPr>
        <a:xfrm>
          <a:off x="5124450" y="1047750"/>
          <a:ext cx="21336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1">
                  <a:lumMod val="40000"/>
                  <a:lumOff val="60000"/>
                </a:schemeClr>
              </a:solidFill>
              <a:latin typeface="Kulim park"/>
            </a:rPr>
            <a:t>Leave taken by job title</a:t>
          </a:r>
        </a:p>
      </xdr:txBody>
    </xdr:sp>
    <xdr:clientData/>
  </xdr:twoCellAnchor>
  <xdr:twoCellAnchor>
    <xdr:from>
      <xdr:col>11</xdr:col>
      <xdr:colOff>342900</xdr:colOff>
      <xdr:row>11</xdr:row>
      <xdr:rowOff>81933</xdr:rowOff>
    </xdr:from>
    <xdr:to>
      <xdr:col>15</xdr:col>
      <xdr:colOff>85725</xdr:colOff>
      <xdr:row>19</xdr:row>
      <xdr:rowOff>40452</xdr:rowOff>
    </xdr:to>
    <xdr:graphicFrame macro="">
      <xdr:nvGraphicFramePr>
        <xdr:cNvPr id="141" name="Chart 140">
          <a:extLst>
            <a:ext uri="{FF2B5EF4-FFF2-40B4-BE49-F238E27FC236}">
              <a16:creationId xmlns:a16="http://schemas.microsoft.com/office/drawing/2014/main" id="{FBDEC66E-0633-43D3-87E4-772E73345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457201</xdr:colOff>
      <xdr:row>9</xdr:row>
      <xdr:rowOff>158132</xdr:rowOff>
    </xdr:from>
    <xdr:to>
      <xdr:col>13</xdr:col>
      <xdr:colOff>219075</xdr:colOff>
      <xdr:row>11</xdr:row>
      <xdr:rowOff>158133</xdr:rowOff>
    </xdr:to>
    <xdr:sp macro="" textlink="">
      <xdr:nvSpPr>
        <xdr:cNvPr id="142" name="TextBox 141">
          <a:extLst>
            <a:ext uri="{FF2B5EF4-FFF2-40B4-BE49-F238E27FC236}">
              <a16:creationId xmlns:a16="http://schemas.microsoft.com/office/drawing/2014/main" id="{A02C6647-5614-FA28-1839-52A9402FD23F}"/>
            </a:ext>
          </a:extLst>
        </xdr:cNvPr>
        <xdr:cNvSpPr txBox="1"/>
      </xdr:nvSpPr>
      <xdr:spPr>
        <a:xfrm>
          <a:off x="8005507" y="1817326"/>
          <a:ext cx="1134294" cy="368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2B279"/>
              </a:solidFill>
              <a:latin typeface="Kulim park"/>
            </a:rPr>
            <a:t>Regions </a:t>
          </a:r>
        </a:p>
      </xdr:txBody>
    </xdr:sp>
    <xdr:clientData/>
  </xdr:twoCellAnchor>
  <xdr:twoCellAnchor>
    <xdr:from>
      <xdr:col>11</xdr:col>
      <xdr:colOff>457200</xdr:colOff>
      <xdr:row>10</xdr:row>
      <xdr:rowOff>167658</xdr:rowOff>
    </xdr:from>
    <xdr:to>
      <xdr:col>14</xdr:col>
      <xdr:colOff>533400</xdr:colOff>
      <xdr:row>12</xdr:row>
      <xdr:rowOff>21403</xdr:rowOff>
    </xdr:to>
    <xdr:sp macro="" textlink="">
      <xdr:nvSpPr>
        <xdr:cNvPr id="143" name="TextBox 142">
          <a:extLst>
            <a:ext uri="{FF2B5EF4-FFF2-40B4-BE49-F238E27FC236}">
              <a16:creationId xmlns:a16="http://schemas.microsoft.com/office/drawing/2014/main" id="{7C4D291C-1670-BD9C-F4CC-3E73B0159992}"/>
            </a:ext>
          </a:extLst>
        </xdr:cNvPr>
        <xdr:cNvSpPr txBox="1"/>
      </xdr:nvSpPr>
      <xdr:spPr>
        <a:xfrm>
          <a:off x="8005506" y="2011206"/>
          <a:ext cx="2134829" cy="22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1">
                  <a:lumMod val="40000"/>
                  <a:lumOff val="60000"/>
                </a:schemeClr>
              </a:solidFill>
              <a:latin typeface="Kulim park"/>
            </a:rPr>
            <a:t>Employees per region</a:t>
          </a:r>
        </a:p>
      </xdr:txBody>
    </xdr:sp>
    <xdr:clientData/>
  </xdr:twoCellAnchor>
  <xdr:twoCellAnchor>
    <xdr:from>
      <xdr:col>11</xdr:col>
      <xdr:colOff>449827</xdr:colOff>
      <xdr:row>4</xdr:row>
      <xdr:rowOff>69030</xdr:rowOff>
    </xdr:from>
    <xdr:to>
      <xdr:col>13</xdr:col>
      <xdr:colOff>135501</xdr:colOff>
      <xdr:row>7</xdr:row>
      <xdr:rowOff>148609</xdr:rowOff>
    </xdr:to>
    <xdr:sp macro="" textlink="'Pivot tables'!R18">
      <xdr:nvSpPr>
        <xdr:cNvPr id="144" name="TextBox 143">
          <a:extLst>
            <a:ext uri="{FF2B5EF4-FFF2-40B4-BE49-F238E27FC236}">
              <a16:creationId xmlns:a16="http://schemas.microsoft.com/office/drawing/2014/main" id="{5BD9D371-A5CF-C5CA-EB6A-9DD31832C5A0}"/>
            </a:ext>
          </a:extLst>
        </xdr:cNvPr>
        <xdr:cNvSpPr txBox="1"/>
      </xdr:nvSpPr>
      <xdr:spPr>
        <a:xfrm>
          <a:off x="7998133" y="806449"/>
          <a:ext cx="1058094" cy="632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446AFF9-006D-4236-ABBD-413670982DB9}" type="TxLink">
            <a:rPr lang="en-US" sz="4500" b="1" i="0" u="none" strike="noStrike">
              <a:solidFill>
                <a:schemeClr val="bg1"/>
              </a:solidFill>
              <a:latin typeface="Kulim park"/>
              <a:ea typeface="+mn-ea"/>
              <a:cs typeface="+mn-cs"/>
            </a:rPr>
            <a:pPr marL="0" indent="0" algn="l"/>
            <a:t>2.6</a:t>
          </a:fld>
          <a:endParaRPr lang="en-US" sz="4500" b="1" i="0" u="none" strike="noStrike">
            <a:solidFill>
              <a:schemeClr val="bg1"/>
            </a:solidFill>
            <a:latin typeface="Kulim park"/>
            <a:ea typeface="+mn-ea"/>
            <a:cs typeface="+mn-cs"/>
          </a:endParaRPr>
        </a:p>
      </xdr:txBody>
    </xdr:sp>
    <xdr:clientData/>
  </xdr:twoCellAnchor>
  <xdr:twoCellAnchor>
    <xdr:from>
      <xdr:col>11</xdr:col>
      <xdr:colOff>438151</xdr:colOff>
      <xdr:row>7</xdr:row>
      <xdr:rowOff>28781</xdr:rowOff>
    </xdr:from>
    <xdr:to>
      <xdr:col>13</xdr:col>
      <xdr:colOff>133351</xdr:colOff>
      <xdr:row>9</xdr:row>
      <xdr:rowOff>28780</xdr:rowOff>
    </xdr:to>
    <xdr:sp macro="" textlink="">
      <xdr:nvSpPr>
        <xdr:cNvPr id="145" name="TextBox 144">
          <a:extLst>
            <a:ext uri="{FF2B5EF4-FFF2-40B4-BE49-F238E27FC236}">
              <a16:creationId xmlns:a16="http://schemas.microsoft.com/office/drawing/2014/main" id="{AF4E2D35-B879-A618-E85A-6C24C9B642C9}"/>
            </a:ext>
          </a:extLst>
        </xdr:cNvPr>
        <xdr:cNvSpPr txBox="1"/>
      </xdr:nvSpPr>
      <xdr:spPr>
        <a:xfrm>
          <a:off x="7986457" y="1319265"/>
          <a:ext cx="1067620" cy="368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chemeClr val="bg1"/>
              </a:solidFill>
              <a:latin typeface="Kulim park"/>
            </a:rPr>
            <a:t>Average Rating</a:t>
          </a:r>
          <a:r>
            <a:rPr lang="en-US" sz="1000" b="1" baseline="0">
              <a:solidFill>
                <a:schemeClr val="bg1"/>
              </a:solidFill>
              <a:latin typeface="Kulim park"/>
            </a:rPr>
            <a:t> </a:t>
          </a:r>
          <a:endParaRPr lang="en-US" sz="1000" b="1">
            <a:solidFill>
              <a:schemeClr val="bg1"/>
            </a:solidFill>
            <a:latin typeface="Kulim park"/>
          </a:endParaRPr>
        </a:p>
      </xdr:txBody>
    </xdr:sp>
    <xdr:clientData/>
  </xdr:twoCellAnchor>
  <xdr:twoCellAnchor editAs="oneCell">
    <xdr:from>
      <xdr:col>13</xdr:col>
      <xdr:colOff>518652</xdr:colOff>
      <xdr:row>4</xdr:row>
      <xdr:rowOff>42228</xdr:rowOff>
    </xdr:from>
    <xdr:to>
      <xdr:col>15</xdr:col>
      <xdr:colOff>41992</xdr:colOff>
      <xdr:row>9</xdr:row>
      <xdr:rowOff>32702</xdr:rowOff>
    </xdr:to>
    <xdr:pic>
      <xdr:nvPicPr>
        <xdr:cNvPr id="147" name="Picture 146">
          <a:extLst>
            <a:ext uri="{FF2B5EF4-FFF2-40B4-BE49-F238E27FC236}">
              <a16:creationId xmlns:a16="http://schemas.microsoft.com/office/drawing/2014/main" id="{9E24F0CD-B48A-9A08-1A9E-BE14248BFD8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439378" y="779647"/>
          <a:ext cx="895759" cy="912249"/>
        </a:xfrm>
        <a:prstGeom prst="rect">
          <a:avLst/>
        </a:prstGeom>
      </xdr:spPr>
    </xdr:pic>
    <xdr:clientData/>
  </xdr:twoCellAnchor>
  <xdr:twoCellAnchor>
    <xdr:from>
      <xdr:col>11</xdr:col>
      <xdr:colOff>477685</xdr:colOff>
      <xdr:row>1</xdr:row>
      <xdr:rowOff>182204</xdr:rowOff>
    </xdr:from>
    <xdr:to>
      <xdr:col>15</xdr:col>
      <xdr:colOff>10549</xdr:colOff>
      <xdr:row>3</xdr:row>
      <xdr:rowOff>182204</xdr:rowOff>
    </xdr:to>
    <xdr:sp macro="" textlink="">
      <xdr:nvSpPr>
        <xdr:cNvPr id="148" name="TextBox 147">
          <a:extLst>
            <a:ext uri="{FF2B5EF4-FFF2-40B4-BE49-F238E27FC236}">
              <a16:creationId xmlns:a16="http://schemas.microsoft.com/office/drawing/2014/main" id="{BB9E8ACF-1734-A87D-B76F-7B7F2FBCBF4C}"/>
            </a:ext>
          </a:extLst>
        </xdr:cNvPr>
        <xdr:cNvSpPr txBox="1"/>
      </xdr:nvSpPr>
      <xdr:spPr>
        <a:xfrm>
          <a:off x="8025991" y="366559"/>
          <a:ext cx="2277703" cy="368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2B279"/>
              </a:solidFill>
              <a:latin typeface="Kulim park"/>
            </a:rPr>
            <a:t>Performance Rating</a:t>
          </a:r>
        </a:p>
      </xdr:txBody>
    </xdr:sp>
    <xdr:clientData/>
  </xdr:twoCellAnchor>
  <xdr:twoCellAnchor>
    <xdr:from>
      <xdr:col>11</xdr:col>
      <xdr:colOff>456483</xdr:colOff>
      <xdr:row>3</xdr:row>
      <xdr:rowOff>16898</xdr:rowOff>
    </xdr:from>
    <xdr:to>
      <xdr:col>14</xdr:col>
      <xdr:colOff>532683</xdr:colOff>
      <xdr:row>4</xdr:row>
      <xdr:rowOff>54999</xdr:rowOff>
    </xdr:to>
    <xdr:sp macro="" textlink="">
      <xdr:nvSpPr>
        <xdr:cNvPr id="149" name="TextBox 148">
          <a:extLst>
            <a:ext uri="{FF2B5EF4-FFF2-40B4-BE49-F238E27FC236}">
              <a16:creationId xmlns:a16="http://schemas.microsoft.com/office/drawing/2014/main" id="{7AF58BDC-5656-F96F-2B9A-5C06A6DDD38B}"/>
            </a:ext>
          </a:extLst>
        </xdr:cNvPr>
        <xdr:cNvSpPr txBox="1"/>
      </xdr:nvSpPr>
      <xdr:spPr>
        <a:xfrm>
          <a:off x="8004789" y="569963"/>
          <a:ext cx="2134829" cy="22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1">
                  <a:lumMod val="40000"/>
                  <a:lumOff val="60000"/>
                </a:schemeClr>
              </a:solidFill>
              <a:latin typeface="Kulim park"/>
            </a:rPr>
            <a:t>Average Performance Rating</a:t>
          </a:r>
        </a:p>
      </xdr:txBody>
    </xdr:sp>
    <xdr:clientData/>
  </xdr:twoCellAnchor>
  <xdr:twoCellAnchor>
    <xdr:from>
      <xdr:col>11</xdr:col>
      <xdr:colOff>431493</xdr:colOff>
      <xdr:row>2</xdr:row>
      <xdr:rowOff>101907</xdr:rowOff>
    </xdr:from>
    <xdr:to>
      <xdr:col>11</xdr:col>
      <xdr:colOff>536267</xdr:colOff>
      <xdr:row>3</xdr:row>
      <xdr:rowOff>16182</xdr:rowOff>
    </xdr:to>
    <xdr:sp macro="" textlink="">
      <xdr:nvSpPr>
        <xdr:cNvPr id="151" name="Oval 150">
          <a:extLst>
            <a:ext uri="{FF2B5EF4-FFF2-40B4-BE49-F238E27FC236}">
              <a16:creationId xmlns:a16="http://schemas.microsoft.com/office/drawing/2014/main" id="{765636E7-D400-57BC-DF82-028D0930DAAB}"/>
            </a:ext>
          </a:extLst>
        </xdr:cNvPr>
        <xdr:cNvSpPr/>
      </xdr:nvSpPr>
      <xdr:spPr>
        <a:xfrm>
          <a:off x="7979799" y="470617"/>
          <a:ext cx="104774" cy="9863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381001</xdr:colOff>
      <xdr:row>10</xdr:row>
      <xdr:rowOff>110509</xdr:rowOff>
    </xdr:from>
    <xdr:to>
      <xdr:col>11</xdr:col>
      <xdr:colOff>485775</xdr:colOff>
      <xdr:row>11</xdr:row>
      <xdr:rowOff>21404</xdr:rowOff>
    </xdr:to>
    <xdr:sp macro="" textlink="">
      <xdr:nvSpPr>
        <xdr:cNvPr id="152" name="Oval 151">
          <a:extLst>
            <a:ext uri="{FF2B5EF4-FFF2-40B4-BE49-F238E27FC236}">
              <a16:creationId xmlns:a16="http://schemas.microsoft.com/office/drawing/2014/main" id="{5C338E1E-76C5-FDB6-62EF-6CA537BF0583}"/>
            </a:ext>
          </a:extLst>
        </xdr:cNvPr>
        <xdr:cNvSpPr/>
      </xdr:nvSpPr>
      <xdr:spPr>
        <a:xfrm>
          <a:off x="7929307" y="1954057"/>
          <a:ext cx="104774" cy="95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362668</xdr:colOff>
      <xdr:row>20</xdr:row>
      <xdr:rowOff>183125</xdr:rowOff>
    </xdr:from>
    <xdr:to>
      <xdr:col>11</xdr:col>
      <xdr:colOff>467442</xdr:colOff>
      <xdr:row>21</xdr:row>
      <xdr:rowOff>97400</xdr:rowOff>
    </xdr:to>
    <xdr:sp macro="" textlink="">
      <xdr:nvSpPr>
        <xdr:cNvPr id="153" name="Oval 152">
          <a:extLst>
            <a:ext uri="{FF2B5EF4-FFF2-40B4-BE49-F238E27FC236}">
              <a16:creationId xmlns:a16="http://schemas.microsoft.com/office/drawing/2014/main" id="{4A148920-123C-90C8-958A-69D3F6FA3AFC}"/>
            </a:ext>
          </a:extLst>
        </xdr:cNvPr>
        <xdr:cNvSpPr/>
      </xdr:nvSpPr>
      <xdr:spPr>
        <a:xfrm>
          <a:off x="7910974" y="3870222"/>
          <a:ext cx="104774" cy="9863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257176</xdr:colOff>
      <xdr:row>8</xdr:row>
      <xdr:rowOff>47626</xdr:rowOff>
    </xdr:from>
    <xdr:to>
      <xdr:col>7</xdr:col>
      <xdr:colOff>361950</xdr:colOff>
      <xdr:row>8</xdr:row>
      <xdr:rowOff>142876</xdr:rowOff>
    </xdr:to>
    <xdr:sp macro="" textlink="">
      <xdr:nvSpPr>
        <xdr:cNvPr id="154" name="Oval 153">
          <a:extLst>
            <a:ext uri="{FF2B5EF4-FFF2-40B4-BE49-F238E27FC236}">
              <a16:creationId xmlns:a16="http://schemas.microsoft.com/office/drawing/2014/main" id="{2F20BE31-1B85-C21D-3942-5801D4BB0612}"/>
            </a:ext>
          </a:extLst>
        </xdr:cNvPr>
        <xdr:cNvSpPr/>
      </xdr:nvSpPr>
      <xdr:spPr>
        <a:xfrm>
          <a:off x="5057776" y="952501"/>
          <a:ext cx="104774" cy="95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304801</xdr:colOff>
      <xdr:row>22</xdr:row>
      <xdr:rowOff>114301</xdr:rowOff>
    </xdr:from>
    <xdr:to>
      <xdr:col>7</xdr:col>
      <xdr:colOff>409575</xdr:colOff>
      <xdr:row>23</xdr:row>
      <xdr:rowOff>28576</xdr:rowOff>
    </xdr:to>
    <xdr:sp macro="" textlink="">
      <xdr:nvSpPr>
        <xdr:cNvPr id="155" name="Oval 154">
          <a:extLst>
            <a:ext uri="{FF2B5EF4-FFF2-40B4-BE49-F238E27FC236}">
              <a16:creationId xmlns:a16="http://schemas.microsoft.com/office/drawing/2014/main" id="{A61179A8-A4CE-F40A-F01C-33979E1A21E2}"/>
            </a:ext>
          </a:extLst>
        </xdr:cNvPr>
        <xdr:cNvSpPr/>
      </xdr:nvSpPr>
      <xdr:spPr>
        <a:xfrm>
          <a:off x="5105401" y="3552826"/>
          <a:ext cx="104774" cy="95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76201</xdr:colOff>
      <xdr:row>20</xdr:row>
      <xdr:rowOff>123826</xdr:rowOff>
    </xdr:from>
    <xdr:to>
      <xdr:col>3</xdr:col>
      <xdr:colOff>180975</xdr:colOff>
      <xdr:row>21</xdr:row>
      <xdr:rowOff>38101</xdr:rowOff>
    </xdr:to>
    <xdr:sp macro="" textlink="">
      <xdr:nvSpPr>
        <xdr:cNvPr id="156" name="Oval 155">
          <a:extLst>
            <a:ext uri="{FF2B5EF4-FFF2-40B4-BE49-F238E27FC236}">
              <a16:creationId xmlns:a16="http://schemas.microsoft.com/office/drawing/2014/main" id="{85004EC5-7627-DF07-15D6-21AECAA3B2FB}"/>
            </a:ext>
          </a:extLst>
        </xdr:cNvPr>
        <xdr:cNvSpPr/>
      </xdr:nvSpPr>
      <xdr:spPr>
        <a:xfrm>
          <a:off x="2133601" y="3200401"/>
          <a:ext cx="104774" cy="95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457201</xdr:colOff>
      <xdr:row>8</xdr:row>
      <xdr:rowOff>9526</xdr:rowOff>
    </xdr:from>
    <xdr:to>
      <xdr:col>3</xdr:col>
      <xdr:colOff>561975</xdr:colOff>
      <xdr:row>8</xdr:row>
      <xdr:rowOff>104776</xdr:rowOff>
    </xdr:to>
    <xdr:sp macro="" textlink="">
      <xdr:nvSpPr>
        <xdr:cNvPr id="157" name="Oval 156">
          <a:extLst>
            <a:ext uri="{FF2B5EF4-FFF2-40B4-BE49-F238E27FC236}">
              <a16:creationId xmlns:a16="http://schemas.microsoft.com/office/drawing/2014/main" id="{C7848BA0-8472-2BF4-8259-A3233A608C80}"/>
            </a:ext>
          </a:extLst>
        </xdr:cNvPr>
        <xdr:cNvSpPr/>
      </xdr:nvSpPr>
      <xdr:spPr>
        <a:xfrm>
          <a:off x="2514601" y="914401"/>
          <a:ext cx="104774" cy="95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361951</xdr:colOff>
      <xdr:row>22</xdr:row>
      <xdr:rowOff>66676</xdr:rowOff>
    </xdr:from>
    <xdr:to>
      <xdr:col>3</xdr:col>
      <xdr:colOff>466725</xdr:colOff>
      <xdr:row>22</xdr:row>
      <xdr:rowOff>161926</xdr:rowOff>
    </xdr:to>
    <xdr:sp macro="" textlink="">
      <xdr:nvSpPr>
        <xdr:cNvPr id="158" name="Oval 157">
          <a:extLst>
            <a:ext uri="{FF2B5EF4-FFF2-40B4-BE49-F238E27FC236}">
              <a16:creationId xmlns:a16="http://schemas.microsoft.com/office/drawing/2014/main" id="{5C75B1AE-3F13-551D-651C-B4D30B077A53}"/>
            </a:ext>
          </a:extLst>
        </xdr:cNvPr>
        <xdr:cNvSpPr/>
      </xdr:nvSpPr>
      <xdr:spPr>
        <a:xfrm>
          <a:off x="2419351" y="3505201"/>
          <a:ext cx="104774" cy="95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342901</xdr:colOff>
      <xdr:row>26</xdr:row>
      <xdr:rowOff>57151</xdr:rowOff>
    </xdr:from>
    <xdr:to>
      <xdr:col>0</xdr:col>
      <xdr:colOff>447675</xdr:colOff>
      <xdr:row>26</xdr:row>
      <xdr:rowOff>152401</xdr:rowOff>
    </xdr:to>
    <xdr:sp macro="" textlink="">
      <xdr:nvSpPr>
        <xdr:cNvPr id="160" name="Oval 159">
          <a:extLst>
            <a:ext uri="{FF2B5EF4-FFF2-40B4-BE49-F238E27FC236}">
              <a16:creationId xmlns:a16="http://schemas.microsoft.com/office/drawing/2014/main" id="{9B31C2CF-79BF-974F-7A40-D32276B48F7A}"/>
            </a:ext>
          </a:extLst>
        </xdr:cNvPr>
        <xdr:cNvSpPr/>
      </xdr:nvSpPr>
      <xdr:spPr>
        <a:xfrm>
          <a:off x="342901" y="4219576"/>
          <a:ext cx="104774" cy="95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438150</xdr:colOff>
      <xdr:row>13</xdr:row>
      <xdr:rowOff>57150</xdr:rowOff>
    </xdr:from>
    <xdr:to>
      <xdr:col>0</xdr:col>
      <xdr:colOff>438150</xdr:colOff>
      <xdr:row>15</xdr:row>
      <xdr:rowOff>114300</xdr:rowOff>
    </xdr:to>
    <xdr:cxnSp macro="">
      <xdr:nvCxnSpPr>
        <xdr:cNvPr id="167" name="Straight Connector 166">
          <a:extLst>
            <a:ext uri="{FF2B5EF4-FFF2-40B4-BE49-F238E27FC236}">
              <a16:creationId xmlns:a16="http://schemas.microsoft.com/office/drawing/2014/main" id="{5799C5C4-A8D5-F200-EFA0-63527DC7EFE4}"/>
            </a:ext>
          </a:extLst>
        </xdr:cNvPr>
        <xdr:cNvCxnSpPr/>
      </xdr:nvCxnSpPr>
      <xdr:spPr>
        <a:xfrm>
          <a:off x="438150" y="1866900"/>
          <a:ext cx="0" cy="419100"/>
        </a:xfrm>
        <a:prstGeom prst="line">
          <a:avLst/>
        </a:prstGeom>
        <a:ln w="25400" cap="rnd">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409576</xdr:colOff>
      <xdr:row>16</xdr:row>
      <xdr:rowOff>28576</xdr:rowOff>
    </xdr:from>
    <xdr:to>
      <xdr:col>0</xdr:col>
      <xdr:colOff>514350</xdr:colOff>
      <xdr:row>16</xdr:row>
      <xdr:rowOff>123826</xdr:rowOff>
    </xdr:to>
    <xdr:sp macro="" textlink="">
      <xdr:nvSpPr>
        <xdr:cNvPr id="175" name="Oval 174">
          <a:extLst>
            <a:ext uri="{FF2B5EF4-FFF2-40B4-BE49-F238E27FC236}">
              <a16:creationId xmlns:a16="http://schemas.microsoft.com/office/drawing/2014/main" id="{D1380B6E-99FF-CF0C-B807-B9A8BFAD1B9C}"/>
            </a:ext>
          </a:extLst>
        </xdr:cNvPr>
        <xdr:cNvSpPr/>
      </xdr:nvSpPr>
      <xdr:spPr>
        <a:xfrm>
          <a:off x="409576" y="2381251"/>
          <a:ext cx="104774" cy="95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419101</xdr:colOff>
      <xdr:row>17</xdr:row>
      <xdr:rowOff>161926</xdr:rowOff>
    </xdr:from>
    <xdr:to>
      <xdr:col>0</xdr:col>
      <xdr:colOff>523875</xdr:colOff>
      <xdr:row>18</xdr:row>
      <xdr:rowOff>76201</xdr:rowOff>
    </xdr:to>
    <xdr:sp macro="" textlink="">
      <xdr:nvSpPr>
        <xdr:cNvPr id="176" name="Oval 175">
          <a:extLst>
            <a:ext uri="{FF2B5EF4-FFF2-40B4-BE49-F238E27FC236}">
              <a16:creationId xmlns:a16="http://schemas.microsoft.com/office/drawing/2014/main" id="{3D4B3DD3-7C08-490E-D042-91E2A05388CD}"/>
            </a:ext>
          </a:extLst>
        </xdr:cNvPr>
        <xdr:cNvSpPr/>
      </xdr:nvSpPr>
      <xdr:spPr>
        <a:xfrm>
          <a:off x="419101" y="2695576"/>
          <a:ext cx="104774" cy="95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409576</xdr:colOff>
      <xdr:row>19</xdr:row>
      <xdr:rowOff>114301</xdr:rowOff>
    </xdr:from>
    <xdr:to>
      <xdr:col>0</xdr:col>
      <xdr:colOff>514350</xdr:colOff>
      <xdr:row>20</xdr:row>
      <xdr:rowOff>28576</xdr:rowOff>
    </xdr:to>
    <xdr:sp macro="" textlink="">
      <xdr:nvSpPr>
        <xdr:cNvPr id="177" name="Oval 176">
          <a:extLst>
            <a:ext uri="{FF2B5EF4-FFF2-40B4-BE49-F238E27FC236}">
              <a16:creationId xmlns:a16="http://schemas.microsoft.com/office/drawing/2014/main" id="{AF4D9E1B-15D8-2760-C68F-CC033E574E72}"/>
            </a:ext>
          </a:extLst>
        </xdr:cNvPr>
        <xdr:cNvSpPr/>
      </xdr:nvSpPr>
      <xdr:spPr>
        <a:xfrm>
          <a:off x="409576" y="3009901"/>
          <a:ext cx="104774" cy="95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400051</xdr:colOff>
      <xdr:row>21</xdr:row>
      <xdr:rowOff>66676</xdr:rowOff>
    </xdr:from>
    <xdr:to>
      <xdr:col>0</xdr:col>
      <xdr:colOff>504825</xdr:colOff>
      <xdr:row>21</xdr:row>
      <xdr:rowOff>161926</xdr:rowOff>
    </xdr:to>
    <xdr:sp macro="" textlink="">
      <xdr:nvSpPr>
        <xdr:cNvPr id="178" name="Oval 177">
          <a:extLst>
            <a:ext uri="{FF2B5EF4-FFF2-40B4-BE49-F238E27FC236}">
              <a16:creationId xmlns:a16="http://schemas.microsoft.com/office/drawing/2014/main" id="{A8D6A078-1FED-DFD2-5E09-7B944A8A84B4}"/>
            </a:ext>
          </a:extLst>
        </xdr:cNvPr>
        <xdr:cNvSpPr/>
      </xdr:nvSpPr>
      <xdr:spPr>
        <a:xfrm>
          <a:off x="400051" y="3324226"/>
          <a:ext cx="104774" cy="95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390526</xdr:colOff>
      <xdr:row>23</xdr:row>
      <xdr:rowOff>38101</xdr:rowOff>
    </xdr:from>
    <xdr:to>
      <xdr:col>0</xdr:col>
      <xdr:colOff>495300</xdr:colOff>
      <xdr:row>23</xdr:row>
      <xdr:rowOff>133351</xdr:rowOff>
    </xdr:to>
    <xdr:sp macro="" textlink="">
      <xdr:nvSpPr>
        <xdr:cNvPr id="179" name="Oval 178">
          <a:extLst>
            <a:ext uri="{FF2B5EF4-FFF2-40B4-BE49-F238E27FC236}">
              <a16:creationId xmlns:a16="http://schemas.microsoft.com/office/drawing/2014/main" id="{28F1D273-EF35-B38B-1BCD-565E29BE8267}"/>
            </a:ext>
          </a:extLst>
        </xdr:cNvPr>
        <xdr:cNvSpPr/>
      </xdr:nvSpPr>
      <xdr:spPr>
        <a:xfrm>
          <a:off x="390526" y="3657601"/>
          <a:ext cx="104774" cy="952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266700</xdr:colOff>
      <xdr:row>1</xdr:row>
      <xdr:rowOff>104775</xdr:rowOff>
    </xdr:from>
    <xdr:to>
      <xdr:col>1</xdr:col>
      <xdr:colOff>533739</xdr:colOff>
      <xdr:row>6</xdr:row>
      <xdr:rowOff>152739</xdr:rowOff>
    </xdr:to>
    <xdr:pic>
      <xdr:nvPicPr>
        <xdr:cNvPr id="185" name="Picture 184">
          <a:extLst>
            <a:ext uri="{FF2B5EF4-FFF2-40B4-BE49-F238E27FC236}">
              <a16:creationId xmlns:a16="http://schemas.microsoft.com/office/drawing/2014/main" id="{A487510D-FD8A-40DC-29ED-7E965CBA0AE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66700" y="285750"/>
          <a:ext cx="952839" cy="952839"/>
        </a:xfrm>
        <a:prstGeom prst="rect">
          <a:avLst/>
        </a:prstGeom>
      </xdr:spPr>
    </xdr:pic>
    <xdr:clientData/>
  </xdr:twoCellAnchor>
  <xdr:twoCellAnchor>
    <xdr:from>
      <xdr:col>1</xdr:col>
      <xdr:colOff>518858</xdr:colOff>
      <xdr:row>1</xdr:row>
      <xdr:rowOff>39739</xdr:rowOff>
    </xdr:from>
    <xdr:to>
      <xdr:col>2</xdr:col>
      <xdr:colOff>509331</xdr:colOff>
      <xdr:row>4</xdr:row>
      <xdr:rowOff>109794</xdr:rowOff>
    </xdr:to>
    <xdr:sp macro="" textlink="">
      <xdr:nvSpPr>
        <xdr:cNvPr id="186" name="TextBox 185">
          <a:extLst>
            <a:ext uri="{FF2B5EF4-FFF2-40B4-BE49-F238E27FC236}">
              <a16:creationId xmlns:a16="http://schemas.microsoft.com/office/drawing/2014/main" id="{A933A376-AE81-48FF-5CDC-9FED37D67E85}"/>
            </a:ext>
          </a:extLst>
        </xdr:cNvPr>
        <xdr:cNvSpPr txBox="1"/>
      </xdr:nvSpPr>
      <xdr:spPr>
        <a:xfrm>
          <a:off x="1205068" y="224094"/>
          <a:ext cx="676682" cy="623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800" b="1">
              <a:solidFill>
                <a:srgbClr val="F2B279"/>
              </a:solidFill>
              <a:latin typeface="Kulim park"/>
            </a:rPr>
            <a:t>HR</a:t>
          </a:r>
        </a:p>
      </xdr:txBody>
    </xdr:sp>
    <xdr:clientData/>
  </xdr:twoCellAnchor>
  <xdr:twoCellAnchor>
    <xdr:from>
      <xdr:col>1</xdr:col>
      <xdr:colOff>529100</xdr:colOff>
      <xdr:row>3</xdr:row>
      <xdr:rowOff>922</xdr:rowOff>
    </xdr:from>
    <xdr:to>
      <xdr:col>3</xdr:col>
      <xdr:colOff>462423</xdr:colOff>
      <xdr:row>6</xdr:row>
      <xdr:rowOff>19972</xdr:rowOff>
    </xdr:to>
    <xdr:sp macro="" textlink="">
      <xdr:nvSpPr>
        <xdr:cNvPr id="187" name="TextBox 186">
          <a:extLst>
            <a:ext uri="{FF2B5EF4-FFF2-40B4-BE49-F238E27FC236}">
              <a16:creationId xmlns:a16="http://schemas.microsoft.com/office/drawing/2014/main" id="{4A8B26CE-97D1-9ABF-1DAB-43F3BF73F7E1}"/>
            </a:ext>
          </a:extLst>
        </xdr:cNvPr>
        <xdr:cNvSpPr txBox="1"/>
      </xdr:nvSpPr>
      <xdr:spPr>
        <a:xfrm>
          <a:off x="1215310" y="553987"/>
          <a:ext cx="1305742" cy="572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rgbClr val="F2B279"/>
              </a:solidFill>
              <a:latin typeface="Kulim park"/>
            </a:rPr>
            <a:t>Dashboard</a:t>
          </a:r>
        </a:p>
      </xdr:txBody>
    </xdr:sp>
    <xdr:clientData/>
  </xdr:twoCellAnchor>
  <xdr:twoCellAnchor>
    <xdr:from>
      <xdr:col>1</xdr:col>
      <xdr:colOff>520291</xdr:colOff>
      <xdr:row>5</xdr:row>
      <xdr:rowOff>60223</xdr:rowOff>
    </xdr:from>
    <xdr:to>
      <xdr:col>5</xdr:col>
      <xdr:colOff>563307</xdr:colOff>
      <xdr:row>8</xdr:row>
      <xdr:rowOff>79273</xdr:rowOff>
    </xdr:to>
    <xdr:sp macro="" textlink="">
      <xdr:nvSpPr>
        <xdr:cNvPr id="188" name="TextBox 187">
          <a:extLst>
            <a:ext uri="{FF2B5EF4-FFF2-40B4-BE49-F238E27FC236}">
              <a16:creationId xmlns:a16="http://schemas.microsoft.com/office/drawing/2014/main" id="{3433240D-1BD5-3040-4B0E-855AE8449659}"/>
            </a:ext>
          </a:extLst>
        </xdr:cNvPr>
        <xdr:cNvSpPr txBox="1"/>
      </xdr:nvSpPr>
      <xdr:spPr>
        <a:xfrm>
          <a:off x="1206501" y="981997"/>
          <a:ext cx="2787854" cy="572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000" b="0">
              <a:solidFill>
                <a:srgbClr val="F2B279"/>
              </a:solidFill>
              <a:latin typeface="Kulim park"/>
              <a:ea typeface="+mn-ea"/>
              <a:cs typeface="+mn-cs"/>
            </a:rPr>
            <a:t>Analyze and monitor the HR department</a:t>
          </a:r>
        </a:p>
      </xdr:txBody>
    </xdr:sp>
    <xdr:clientData/>
  </xdr:twoCellAnchor>
  <xdr:twoCellAnchor editAs="oneCell">
    <xdr:from>
      <xdr:col>4</xdr:col>
      <xdr:colOff>335321</xdr:colOff>
      <xdr:row>1</xdr:row>
      <xdr:rowOff>81219</xdr:rowOff>
    </xdr:from>
    <xdr:to>
      <xdr:col>7</xdr:col>
      <xdr:colOff>106311</xdr:colOff>
      <xdr:row>5</xdr:row>
      <xdr:rowOff>30215</xdr:rowOff>
    </xdr:to>
    <mc:AlternateContent xmlns:mc="http://schemas.openxmlformats.org/markup-compatibility/2006">
      <mc:Choice xmlns:a14="http://schemas.microsoft.com/office/drawing/2010/main" Requires="a14">
        <xdr:graphicFrame macro="">
          <xdr:nvGraphicFramePr>
            <xdr:cNvPr id="189" name="Gender">
              <a:extLst>
                <a:ext uri="{FF2B5EF4-FFF2-40B4-BE49-F238E27FC236}">
                  <a16:creationId xmlns:a16="http://schemas.microsoft.com/office/drawing/2014/main" id="{297B612B-771D-438F-8220-F7446DF4B44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080160" y="265574"/>
              <a:ext cx="1829619" cy="686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245293</xdr:colOff>
      <xdr:row>1</xdr:row>
      <xdr:rowOff>51211</xdr:rowOff>
    </xdr:from>
    <xdr:to>
      <xdr:col>11</xdr:col>
      <xdr:colOff>264344</xdr:colOff>
      <xdr:row>6</xdr:row>
      <xdr:rowOff>155985</xdr:rowOff>
    </xdr:to>
    <mc:AlternateContent xmlns:mc="http://schemas.openxmlformats.org/markup-compatibility/2006">
      <mc:Choice xmlns:a14="http://schemas.microsoft.com/office/drawing/2010/main" Requires="a14">
        <xdr:graphicFrame macro="">
          <xdr:nvGraphicFramePr>
            <xdr:cNvPr id="190" name="Department">
              <a:extLst>
                <a:ext uri="{FF2B5EF4-FFF2-40B4-BE49-F238E27FC236}">
                  <a16:creationId xmlns:a16="http://schemas.microsoft.com/office/drawing/2014/main" id="{B14E18AF-9978-4998-A3C0-41EFFA79AA1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048761" y="235566"/>
              <a:ext cx="2763889" cy="1026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485368</xdr:colOff>
      <xdr:row>1</xdr:row>
      <xdr:rowOff>79785</xdr:rowOff>
    </xdr:from>
    <xdr:to>
      <xdr:col>11</xdr:col>
      <xdr:colOff>18233</xdr:colOff>
      <xdr:row>3</xdr:row>
      <xdr:rowOff>79784</xdr:rowOff>
    </xdr:to>
    <xdr:sp macro="" textlink="">
      <xdr:nvSpPr>
        <xdr:cNvPr id="191" name="TextBox 190">
          <a:extLst>
            <a:ext uri="{FF2B5EF4-FFF2-40B4-BE49-F238E27FC236}">
              <a16:creationId xmlns:a16="http://schemas.microsoft.com/office/drawing/2014/main" id="{1ADE9E97-7787-36F0-52A6-61122F23867B}"/>
            </a:ext>
          </a:extLst>
        </xdr:cNvPr>
        <xdr:cNvSpPr txBox="1"/>
      </xdr:nvSpPr>
      <xdr:spPr>
        <a:xfrm>
          <a:off x="5288836" y="264140"/>
          <a:ext cx="2277703" cy="368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Kulim park"/>
            </a:rPr>
            <a:t>Filter by department</a:t>
          </a:r>
        </a:p>
      </xdr:txBody>
    </xdr:sp>
    <xdr:clientData/>
  </xdr:twoCellAnchor>
  <xdr:twoCellAnchor>
    <xdr:from>
      <xdr:col>4</xdr:col>
      <xdr:colOff>517527</xdr:colOff>
      <xdr:row>1</xdr:row>
      <xdr:rowOff>79069</xdr:rowOff>
    </xdr:from>
    <xdr:to>
      <xdr:col>6</xdr:col>
      <xdr:colOff>419919</xdr:colOff>
      <xdr:row>2</xdr:row>
      <xdr:rowOff>164794</xdr:rowOff>
    </xdr:to>
    <xdr:sp macro="" textlink="">
      <xdr:nvSpPr>
        <xdr:cNvPr id="192" name="TextBox 191">
          <a:extLst>
            <a:ext uri="{FF2B5EF4-FFF2-40B4-BE49-F238E27FC236}">
              <a16:creationId xmlns:a16="http://schemas.microsoft.com/office/drawing/2014/main" id="{9F5E1246-852B-BC40-6CDA-3B2C4DEF180C}"/>
            </a:ext>
          </a:extLst>
        </xdr:cNvPr>
        <xdr:cNvSpPr txBox="1"/>
      </xdr:nvSpPr>
      <xdr:spPr>
        <a:xfrm>
          <a:off x="3262366" y="263424"/>
          <a:ext cx="1274811" cy="27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Kulim park"/>
            </a:rPr>
            <a:t>Filter by </a:t>
          </a:r>
          <a:r>
            <a:rPr lang="en-US" sz="1100" b="1" baseline="0">
              <a:solidFill>
                <a:schemeClr val="bg1"/>
              </a:solidFill>
              <a:latin typeface="Kulim park"/>
            </a:rPr>
            <a:t>gender</a:t>
          </a:r>
          <a:endParaRPr lang="en-US" sz="1100" b="1">
            <a:solidFill>
              <a:schemeClr val="bg1"/>
            </a:solidFill>
            <a:latin typeface="Kulim park"/>
          </a:endParaRPr>
        </a:p>
      </xdr:txBody>
    </xdr:sp>
    <xdr:clientData/>
  </xdr:twoCellAnchor>
  <xdr:twoCellAnchor>
    <xdr:from>
      <xdr:col>7</xdr:col>
      <xdr:colOff>395137</xdr:colOff>
      <xdr:row>1</xdr:row>
      <xdr:rowOff>154552</xdr:rowOff>
    </xdr:from>
    <xdr:to>
      <xdr:col>7</xdr:col>
      <xdr:colOff>499911</xdr:colOff>
      <xdr:row>2</xdr:row>
      <xdr:rowOff>68827</xdr:rowOff>
    </xdr:to>
    <xdr:sp macro="" textlink="">
      <xdr:nvSpPr>
        <xdr:cNvPr id="193" name="Oval 192">
          <a:extLst>
            <a:ext uri="{FF2B5EF4-FFF2-40B4-BE49-F238E27FC236}">
              <a16:creationId xmlns:a16="http://schemas.microsoft.com/office/drawing/2014/main" id="{2C7957D4-81E0-9204-7756-9D0EB34E83DA}"/>
            </a:ext>
          </a:extLst>
        </xdr:cNvPr>
        <xdr:cNvSpPr/>
      </xdr:nvSpPr>
      <xdr:spPr>
        <a:xfrm>
          <a:off x="5198605" y="338907"/>
          <a:ext cx="104774" cy="9863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443479</xdr:colOff>
      <xdr:row>1</xdr:row>
      <xdr:rowOff>155268</xdr:rowOff>
    </xdr:from>
    <xdr:to>
      <xdr:col>4</xdr:col>
      <xdr:colOff>548253</xdr:colOff>
      <xdr:row>2</xdr:row>
      <xdr:rowOff>69543</xdr:rowOff>
    </xdr:to>
    <xdr:sp macro="" textlink="">
      <xdr:nvSpPr>
        <xdr:cNvPr id="194" name="Oval 193">
          <a:extLst>
            <a:ext uri="{FF2B5EF4-FFF2-40B4-BE49-F238E27FC236}">
              <a16:creationId xmlns:a16="http://schemas.microsoft.com/office/drawing/2014/main" id="{4298638D-D61F-0125-E2F1-4B064BB31D3C}"/>
            </a:ext>
          </a:extLst>
        </xdr:cNvPr>
        <xdr:cNvSpPr/>
      </xdr:nvSpPr>
      <xdr:spPr>
        <a:xfrm>
          <a:off x="3188318" y="339623"/>
          <a:ext cx="104774" cy="9863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aa hussein" refreshedDate="46027.770345717596" createdVersion="8" refreshedVersion="8" minRefreshableVersion="3" recordCount="50" xr:uid="{FEC975E4-AB85-4252-A6EA-4B96E0DE3239}">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784899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n v="25"/>
    <x v="0"/>
    <x v="0"/>
    <x v="0"/>
    <x v="0"/>
    <s v="Luis Reynolds"/>
    <s v="2019-03-15"/>
    <x v="0"/>
    <x v="0"/>
    <n v="53700"/>
    <s v="C"/>
    <n v="1463"/>
    <s v="Health"/>
    <n v="1"/>
    <n v="1"/>
    <s v="Leadership Training"/>
    <x v="0"/>
    <s v="Certified Professional"/>
  </r>
  <r>
    <n v="9116"/>
    <s v="Gary Garcia"/>
    <x v="1"/>
    <n v="27"/>
    <x v="1"/>
    <x v="1"/>
    <x v="1"/>
    <x v="1"/>
    <s v="Ashley Simmons MD"/>
    <s v="2022-12-20"/>
    <x v="0"/>
    <x v="1"/>
    <n v="91091"/>
    <s v="B"/>
    <n v="1024"/>
    <s v="None"/>
    <n v="19"/>
    <n v="4"/>
    <s v="Excel Workshop"/>
    <x v="0"/>
    <s v="Certified Professional"/>
  </r>
  <r>
    <n v="5120"/>
    <s v="Jeremy Nguyen"/>
    <x v="1"/>
    <n v="34"/>
    <x v="1"/>
    <x v="2"/>
    <x v="2"/>
    <x v="2"/>
    <s v="Cassandra Duncan"/>
    <s v="2022-08-10"/>
    <x v="0"/>
    <x v="2"/>
    <n v="57538"/>
    <s v="D"/>
    <n v="1674"/>
    <s v="None"/>
    <n v="8"/>
    <n v="1"/>
    <s v="None"/>
    <x v="1"/>
    <s v="Advanced Training"/>
  </r>
  <r>
    <n v="8071"/>
    <s v="Kimberly Jones"/>
    <x v="0"/>
    <n v="41"/>
    <x v="2"/>
    <x v="2"/>
    <x v="0"/>
    <x v="3"/>
    <s v="Janet Harris"/>
    <s v="2024-09-03"/>
    <x v="1"/>
    <x v="0"/>
    <n v="62993"/>
    <s v="A"/>
    <n v="2695"/>
    <s v="Health + Dental"/>
    <n v="0"/>
    <n v="2"/>
    <s v="None"/>
    <x v="2"/>
    <s v="None"/>
  </r>
  <r>
    <n v="9351"/>
    <s v="Anthony Gates"/>
    <x v="1"/>
    <n v="56"/>
    <x v="3"/>
    <x v="0"/>
    <x v="0"/>
    <x v="2"/>
    <s v="Mr. Frank Clay"/>
    <s v="2019-03-14"/>
    <x v="1"/>
    <x v="1"/>
    <n v="45773"/>
    <s v="A"/>
    <n v="8776"/>
    <s v="Health"/>
    <n v="16"/>
    <n v="4"/>
    <s v="Leadership Training"/>
    <x v="2"/>
    <s v="None"/>
  </r>
  <r>
    <n v="2873"/>
    <s v="Courtney Foster"/>
    <x v="0"/>
    <n v="28"/>
    <x v="1"/>
    <x v="2"/>
    <x v="3"/>
    <x v="2"/>
    <s v="Dorothy Price"/>
    <s v="2017-01-23"/>
    <x v="0"/>
    <x v="1"/>
    <n v="96249"/>
    <s v="C"/>
    <n v="4826"/>
    <s v="Health + Dental"/>
    <n v="7"/>
    <n v="3"/>
    <s v="Leadership Training"/>
    <x v="3"/>
    <s v="Certified Professional"/>
  </r>
  <r>
    <n v="3540"/>
    <s v="Catherine Hall"/>
    <x v="0"/>
    <n v="20"/>
    <x v="0"/>
    <x v="1"/>
    <x v="2"/>
    <x v="2"/>
    <s v="Michele Sexton"/>
    <s v="2024-08-17"/>
    <x v="0"/>
    <x v="2"/>
    <n v="61596"/>
    <s v="C"/>
    <n v="8818"/>
    <s v="Health + Dental"/>
    <n v="4"/>
    <n v="2"/>
    <s v="Leadership Training"/>
    <x v="1"/>
    <s v="None"/>
  </r>
  <r>
    <n v="3653"/>
    <s v="Deanna Ball"/>
    <x v="0"/>
    <n v="58"/>
    <x v="3"/>
    <x v="3"/>
    <x v="1"/>
    <x v="4"/>
    <s v="Richard Schmidt"/>
    <s v="2014-12-09"/>
    <x v="0"/>
    <x v="2"/>
    <n v="97869"/>
    <s v="A"/>
    <n v="1966"/>
    <s v="Health"/>
    <n v="10"/>
    <n v="1"/>
    <s v="Leadership Training"/>
    <x v="0"/>
    <s v="Certified Professional"/>
  </r>
  <r>
    <n v="5587"/>
    <s v="Candace Nelson"/>
    <x v="0"/>
    <n v="44"/>
    <x v="2"/>
    <x v="3"/>
    <x v="2"/>
    <x v="2"/>
    <s v="Teresa Pearson"/>
    <s v="2021-06-28"/>
    <x v="0"/>
    <x v="0"/>
    <n v="81235"/>
    <s v="A"/>
    <n v="6553"/>
    <s v="None"/>
    <n v="16"/>
    <n v="2"/>
    <s v="None"/>
    <x v="1"/>
    <s v="Certified Professional"/>
  </r>
  <r>
    <n v="9554"/>
    <s v="Mandy Davis"/>
    <x v="0"/>
    <n v="29"/>
    <x v="1"/>
    <x v="1"/>
    <x v="2"/>
    <x v="3"/>
    <s v="Laura Hart"/>
    <s v="2018-05-20"/>
    <x v="0"/>
    <x v="1"/>
    <n v="87852"/>
    <s v="A"/>
    <n v="4980"/>
    <s v="Health + Dental"/>
    <n v="19"/>
    <n v="3"/>
    <s v="None"/>
    <x v="2"/>
    <s v="Certified Professional"/>
  </r>
  <r>
    <n v="6213"/>
    <s v="Matthew Powell"/>
    <x v="1"/>
    <n v="23"/>
    <x v="0"/>
    <x v="3"/>
    <x v="0"/>
    <x v="2"/>
    <s v="Andrea May"/>
    <s v="2017-02-13"/>
    <x v="1"/>
    <x v="1"/>
    <n v="59359"/>
    <s v="A"/>
    <n v="9449"/>
    <s v="Health + Dental"/>
    <n v="20"/>
    <n v="3"/>
    <s v="None"/>
    <x v="1"/>
    <s v="None"/>
  </r>
  <r>
    <n v="9105"/>
    <s v="Bruce Nelson"/>
    <x v="1"/>
    <n v="30"/>
    <x v="1"/>
    <x v="0"/>
    <x v="1"/>
    <x v="0"/>
    <s v="Casey Martin"/>
    <s v="2024-05-05"/>
    <x v="1"/>
    <x v="2"/>
    <n v="81225"/>
    <s v="D"/>
    <n v="6202"/>
    <s v="Health + Dental"/>
    <n v="2"/>
    <n v="2"/>
    <s v="Excel Workshop"/>
    <x v="4"/>
    <s v="Certified Professional"/>
  </r>
  <r>
    <n v="9508"/>
    <s v="Dawn Cole"/>
    <x v="0"/>
    <n v="49"/>
    <x v="4"/>
    <x v="1"/>
    <x v="0"/>
    <x v="0"/>
    <s v="Amber Allen"/>
    <s v="2022-04-19"/>
    <x v="1"/>
    <x v="0"/>
    <n v="32788"/>
    <s v="D"/>
    <n v="4396"/>
    <s v="Health"/>
    <n v="13"/>
    <n v="5"/>
    <s v="None"/>
    <x v="3"/>
    <s v="Advanced Training"/>
  </r>
  <r>
    <n v="2436"/>
    <s v="Tanner Morse"/>
    <x v="1"/>
    <n v="60"/>
    <x v="3"/>
    <x v="4"/>
    <x v="0"/>
    <x v="3"/>
    <s v="Adam Johnson"/>
    <s v="2015-11-16"/>
    <x v="1"/>
    <x v="2"/>
    <n v="70452"/>
    <s v="D"/>
    <n v="9911"/>
    <s v="None"/>
    <n v="2"/>
    <n v="1"/>
    <s v="None"/>
    <x v="3"/>
    <s v="Certified Professional"/>
  </r>
  <r>
    <n v="4441"/>
    <s v="Jose Griffin"/>
    <x v="1"/>
    <n v="46"/>
    <x v="4"/>
    <x v="1"/>
    <x v="3"/>
    <x v="0"/>
    <s v="Nicole Dominguez"/>
    <s v="2023-09-09"/>
    <x v="0"/>
    <x v="1"/>
    <n v="33045"/>
    <s v="B"/>
    <n v="1456"/>
    <s v="None"/>
    <n v="16"/>
    <n v="3"/>
    <s v="Excel Workshop"/>
    <x v="3"/>
    <s v="None"/>
  </r>
  <r>
    <n v="5827"/>
    <s v="Daniel Hawkins"/>
    <x v="1"/>
    <n v="57"/>
    <x v="3"/>
    <x v="2"/>
    <x v="3"/>
    <x v="1"/>
    <s v="Andrew Best"/>
    <s v="2017-12-12"/>
    <x v="2"/>
    <x v="2"/>
    <n v="96429"/>
    <s v="C"/>
    <n v="4740"/>
    <s v="None"/>
    <n v="8"/>
    <n v="1"/>
    <s v="Excel Workshop"/>
    <x v="2"/>
    <s v="None"/>
  </r>
  <r>
    <n v="5184"/>
    <s v="Elaine Mcclain"/>
    <x v="0"/>
    <n v="24"/>
    <x v="0"/>
    <x v="1"/>
    <x v="2"/>
    <x v="2"/>
    <s v="Gabrielle Rodriguez"/>
    <s v="2017-03-10"/>
    <x v="2"/>
    <x v="2"/>
    <n v="33183"/>
    <s v="A"/>
    <n v="8114"/>
    <s v="None"/>
    <n v="4"/>
    <n v="2"/>
    <s v="Excel Workshop"/>
    <x v="4"/>
    <s v="Advanced Training"/>
  </r>
  <r>
    <n v="5874"/>
    <s v="Kimberly Jones"/>
    <x v="0"/>
    <n v="35"/>
    <x v="1"/>
    <x v="4"/>
    <x v="3"/>
    <x v="0"/>
    <s v="Allison Harvey"/>
    <s v="2019-03-04"/>
    <x v="2"/>
    <x v="0"/>
    <n v="75065"/>
    <s v="C"/>
    <n v="7123"/>
    <s v="None"/>
    <n v="20"/>
    <n v="2"/>
    <s v="None"/>
    <x v="0"/>
    <s v="Advanced Training"/>
  </r>
  <r>
    <n v="9834"/>
    <s v="Thomas Kramer"/>
    <x v="1"/>
    <n v="41"/>
    <x v="2"/>
    <x v="1"/>
    <x v="1"/>
    <x v="4"/>
    <s v="Tristan Mejia"/>
    <s v="2022-11-20"/>
    <x v="0"/>
    <x v="2"/>
    <n v="32877"/>
    <s v="C"/>
    <n v="6432"/>
    <s v="Health"/>
    <n v="11"/>
    <n v="1"/>
    <s v="None"/>
    <x v="0"/>
    <s v="None"/>
  </r>
  <r>
    <n v="5096"/>
    <s v="Kevin Whitaker"/>
    <x v="1"/>
    <n v="36"/>
    <x v="2"/>
    <x v="1"/>
    <x v="4"/>
    <x v="3"/>
    <s v="Mary Welch"/>
    <s v="2021-03-02"/>
    <x v="0"/>
    <x v="1"/>
    <n v="46811"/>
    <s v="D"/>
    <n v="1567"/>
    <s v="None"/>
    <n v="7"/>
    <n v="3"/>
    <s v="Excel Workshop"/>
    <x v="0"/>
    <s v="Advanced Training"/>
  </r>
  <r>
    <n v="2263"/>
    <s v="Dustin Carter"/>
    <x v="1"/>
    <n v="31"/>
    <x v="1"/>
    <x v="3"/>
    <x v="2"/>
    <x v="1"/>
    <s v="Douglas Miles"/>
    <s v="2021-08-01"/>
    <x v="1"/>
    <x v="1"/>
    <n v="87538"/>
    <s v="C"/>
    <n v="3588"/>
    <s v="Health + Dental"/>
    <n v="11"/>
    <n v="5"/>
    <s v="Excel Workshop"/>
    <x v="2"/>
    <s v="None"/>
  </r>
  <r>
    <n v="6505"/>
    <s v="Nicole Williamson"/>
    <x v="0"/>
    <n v="28"/>
    <x v="1"/>
    <x v="0"/>
    <x v="1"/>
    <x v="4"/>
    <s v="Jessica Fleming"/>
    <s v="2015-08-14"/>
    <x v="0"/>
    <x v="1"/>
    <n v="73002"/>
    <s v="C"/>
    <n v="6296"/>
    <s v="Health"/>
    <n v="2"/>
    <n v="5"/>
    <s v="Excel Workshop"/>
    <x v="1"/>
    <s v="Certified Professional"/>
  </r>
  <r>
    <n v="8626"/>
    <s v="Matthew Knight"/>
    <x v="1"/>
    <n v="37"/>
    <x v="2"/>
    <x v="3"/>
    <x v="1"/>
    <x v="3"/>
    <s v="Christine Lee"/>
    <s v="2015-10-21"/>
    <x v="2"/>
    <x v="2"/>
    <n v="41653"/>
    <s v="D"/>
    <n v="9236"/>
    <s v="None"/>
    <n v="13"/>
    <n v="1"/>
    <s v="Excel Workshop"/>
    <x v="0"/>
    <s v="None"/>
  </r>
  <r>
    <n v="5979"/>
    <s v="Donna Jones"/>
    <x v="0"/>
    <n v="31"/>
    <x v="1"/>
    <x v="0"/>
    <x v="0"/>
    <x v="2"/>
    <s v="Mario Smith DVM"/>
    <s v="2015-03-14"/>
    <x v="1"/>
    <x v="1"/>
    <n v="67582"/>
    <s v="A"/>
    <n v="1375"/>
    <s v="Health"/>
    <n v="20"/>
    <n v="3"/>
    <s v="Excel Workshop"/>
    <x v="1"/>
    <s v="None"/>
  </r>
  <r>
    <n v="3104"/>
    <s v="Carolyn Bullock"/>
    <x v="0"/>
    <n v="23"/>
    <x v="0"/>
    <x v="3"/>
    <x v="1"/>
    <x v="1"/>
    <s v="Joseph Francis"/>
    <s v="2024-05-22"/>
    <x v="2"/>
    <x v="1"/>
    <n v="37351"/>
    <s v="D"/>
    <n v="7858"/>
    <s v="Health + Dental"/>
    <n v="18"/>
    <n v="2"/>
    <s v="Leadership Training"/>
    <x v="1"/>
    <s v="Advanced Training"/>
  </r>
  <r>
    <n v="8967"/>
    <s v="Wendy Gomez"/>
    <x v="0"/>
    <n v="48"/>
    <x v="4"/>
    <x v="4"/>
    <x v="2"/>
    <x v="0"/>
    <s v="Sarah Young"/>
    <s v="2017-03-19"/>
    <x v="0"/>
    <x v="1"/>
    <n v="36721"/>
    <s v="B"/>
    <n v="8820"/>
    <s v="Health + Dental"/>
    <n v="0"/>
    <n v="2"/>
    <s v="Excel Workshop"/>
    <x v="1"/>
    <s v="Certified Professional"/>
  </r>
  <r>
    <n v="5087"/>
    <s v="Michael Thomas"/>
    <x v="1"/>
    <n v="28"/>
    <x v="1"/>
    <x v="2"/>
    <x v="4"/>
    <x v="0"/>
    <s v="Aaron Hart"/>
    <s v="2021-09-15"/>
    <x v="1"/>
    <x v="2"/>
    <n v="46326"/>
    <s v="B"/>
    <n v="9189"/>
    <s v="Health + Dental"/>
    <n v="8"/>
    <n v="4"/>
    <s v="Leadership Training"/>
    <x v="3"/>
    <s v="Advanced Training"/>
  </r>
  <r>
    <n v="3358"/>
    <s v="Kevin Bell"/>
    <x v="1"/>
    <n v="30"/>
    <x v="1"/>
    <x v="1"/>
    <x v="3"/>
    <x v="1"/>
    <s v="Brian Boyd"/>
    <s v="2022-05-09"/>
    <x v="0"/>
    <x v="0"/>
    <n v="59007"/>
    <s v="C"/>
    <n v="3380"/>
    <s v="Health"/>
    <n v="17"/>
    <n v="3"/>
    <s v="None"/>
    <x v="4"/>
    <s v="Certified Professional"/>
  </r>
  <r>
    <n v="8256"/>
    <s v="Richard Landry"/>
    <x v="1"/>
    <n v="46"/>
    <x v="4"/>
    <x v="3"/>
    <x v="0"/>
    <x v="3"/>
    <s v="Steven Krueger"/>
    <s v="2017-06-22"/>
    <x v="0"/>
    <x v="1"/>
    <n v="52020"/>
    <s v="B"/>
    <n v="9585"/>
    <s v="Health + Dental"/>
    <n v="0"/>
    <n v="4"/>
    <s v="Excel Workshop"/>
    <x v="4"/>
    <s v="None"/>
  </r>
  <r>
    <n v="5763"/>
    <s v="George Hurley"/>
    <x v="1"/>
    <n v="44"/>
    <x v="2"/>
    <x v="1"/>
    <x v="2"/>
    <x v="1"/>
    <s v="Debra Williams"/>
    <s v="2020-11-28"/>
    <x v="2"/>
    <x v="1"/>
    <n v="98961"/>
    <s v="D"/>
    <n v="2688"/>
    <s v="Health"/>
    <n v="2"/>
    <n v="5"/>
    <s v="Excel Workshop"/>
    <x v="4"/>
    <s v="Certified Professional"/>
  </r>
  <r>
    <n v="6838"/>
    <s v="Mark Lopez"/>
    <x v="1"/>
    <n v="45"/>
    <x v="2"/>
    <x v="2"/>
    <x v="3"/>
    <x v="2"/>
    <s v="Karen Mitchell"/>
    <s v="2015-08-30"/>
    <x v="2"/>
    <x v="1"/>
    <n v="81943"/>
    <s v="C"/>
    <n v="2255"/>
    <s v="Health"/>
    <n v="18"/>
    <n v="2"/>
    <s v="None"/>
    <x v="2"/>
    <s v="Certified Professional"/>
  </r>
  <r>
    <n v="9544"/>
    <s v="Robert Williams"/>
    <x v="1"/>
    <n v="52"/>
    <x v="4"/>
    <x v="4"/>
    <x v="2"/>
    <x v="1"/>
    <s v="Joseph Sanders"/>
    <s v="2018-10-27"/>
    <x v="2"/>
    <x v="1"/>
    <n v="47627"/>
    <s v="C"/>
    <n v="1221"/>
    <s v="None"/>
    <n v="4"/>
    <n v="3"/>
    <s v="None"/>
    <x v="1"/>
    <s v="None"/>
  </r>
  <r>
    <n v="8012"/>
    <s v="Mary Schmidt"/>
    <x v="0"/>
    <n v="52"/>
    <x v="4"/>
    <x v="0"/>
    <x v="0"/>
    <x v="4"/>
    <s v="Shelly George"/>
    <s v="2018-08-26"/>
    <x v="2"/>
    <x v="1"/>
    <n v="56162"/>
    <s v="D"/>
    <n v="6560"/>
    <s v="Health + Dental"/>
    <n v="9"/>
    <n v="4"/>
    <s v="Excel Workshop"/>
    <x v="3"/>
    <s v="None"/>
  </r>
  <r>
    <n v="9374"/>
    <s v="Mary Martinez"/>
    <x v="0"/>
    <n v="42"/>
    <x v="2"/>
    <x v="1"/>
    <x v="2"/>
    <x v="2"/>
    <s v="Nicole Houston"/>
    <s v="2023-07-24"/>
    <x v="1"/>
    <x v="2"/>
    <n v="95734"/>
    <s v="C"/>
    <n v="4854"/>
    <s v="Health"/>
    <n v="13"/>
    <n v="2"/>
    <s v="Leadership Training"/>
    <x v="0"/>
    <s v="Certified Professional"/>
  </r>
  <r>
    <n v="3487"/>
    <s v="Paul Hall"/>
    <x v="1"/>
    <n v="58"/>
    <x v="3"/>
    <x v="1"/>
    <x v="1"/>
    <x v="3"/>
    <s v="Kristin Shaffer"/>
    <s v="2018-07-09"/>
    <x v="1"/>
    <x v="2"/>
    <n v="74789"/>
    <s v="C"/>
    <n v="8101"/>
    <s v="Health + Dental"/>
    <n v="14"/>
    <n v="5"/>
    <s v="Excel Workshop"/>
    <x v="2"/>
    <s v="None"/>
  </r>
  <r>
    <n v="8445"/>
    <s v="Samantha Foster"/>
    <x v="0"/>
    <n v="24"/>
    <x v="0"/>
    <x v="4"/>
    <x v="0"/>
    <x v="3"/>
    <s v="Joel Aguilar"/>
    <s v="2016-12-21"/>
    <x v="0"/>
    <x v="2"/>
    <n v="30137"/>
    <s v="B"/>
    <n v="4031"/>
    <s v="None"/>
    <n v="5"/>
    <n v="3"/>
    <s v="None"/>
    <x v="1"/>
    <s v="Certified Professional"/>
  </r>
  <r>
    <n v="1550"/>
    <s v="Timothy Aguilar"/>
    <x v="1"/>
    <n v="21"/>
    <x v="0"/>
    <x v="1"/>
    <x v="0"/>
    <x v="0"/>
    <s v="Michael Wade"/>
    <s v="2019-06-27"/>
    <x v="0"/>
    <x v="2"/>
    <n v="95510"/>
    <s v="C"/>
    <n v="6811"/>
    <s v="Health"/>
    <n v="18"/>
    <n v="4"/>
    <s v="Excel Workshop"/>
    <x v="4"/>
    <s v="Certified Professional"/>
  </r>
  <r>
    <n v="9968"/>
    <s v="Charles Andrews"/>
    <x v="1"/>
    <n v="58"/>
    <x v="3"/>
    <x v="1"/>
    <x v="3"/>
    <x v="0"/>
    <s v="Jessica Walsh"/>
    <s v="2021-08-27"/>
    <x v="1"/>
    <x v="0"/>
    <n v="80325"/>
    <s v="B"/>
    <n v="6230"/>
    <s v="Health"/>
    <n v="5"/>
    <n v="4"/>
    <s v="None"/>
    <x v="2"/>
    <s v="Advanced Training"/>
  </r>
  <r>
    <n v="8029"/>
    <s v="Veronica Nelson"/>
    <x v="0"/>
    <n v="57"/>
    <x v="3"/>
    <x v="3"/>
    <x v="4"/>
    <x v="4"/>
    <s v="Kelly Mack"/>
    <s v="2017-05-28"/>
    <x v="2"/>
    <x v="1"/>
    <n v="34109"/>
    <s v="B"/>
    <n v="9232"/>
    <s v="Health"/>
    <n v="13"/>
    <n v="3"/>
    <s v="Leadership Training"/>
    <x v="0"/>
    <s v="Certified Professional"/>
  </r>
  <r>
    <n v="8847"/>
    <s v="Chris Sanchez"/>
    <x v="1"/>
    <n v="41"/>
    <x v="2"/>
    <x v="3"/>
    <x v="3"/>
    <x v="0"/>
    <s v="John Conley"/>
    <s v="2022-01-30"/>
    <x v="2"/>
    <x v="2"/>
    <n v="73330"/>
    <s v="C"/>
    <n v="2276"/>
    <s v="Health + Dental"/>
    <n v="5"/>
    <n v="1"/>
    <s v="None"/>
    <x v="1"/>
    <s v="Advanced Training"/>
  </r>
  <r>
    <n v="1955"/>
    <s v="Cassie Galvan"/>
    <x v="0"/>
    <n v="58"/>
    <x v="3"/>
    <x v="2"/>
    <x v="2"/>
    <x v="1"/>
    <s v="Aaron Baker"/>
    <s v="2017-04-20"/>
    <x v="1"/>
    <x v="2"/>
    <n v="46567"/>
    <s v="A"/>
    <n v="2825"/>
    <s v="Health"/>
    <n v="15"/>
    <n v="3"/>
    <s v="None"/>
    <x v="4"/>
    <s v="Advanced Training"/>
  </r>
  <r>
    <n v="4522"/>
    <s v="Jessica Jones"/>
    <x v="0"/>
    <n v="36"/>
    <x v="2"/>
    <x v="0"/>
    <x v="4"/>
    <x v="0"/>
    <s v="Christopher Bass"/>
    <s v="2019-07-22"/>
    <x v="1"/>
    <x v="1"/>
    <n v="39795"/>
    <s v="A"/>
    <n v="1670"/>
    <s v="None"/>
    <n v="0"/>
    <n v="2"/>
    <s v="Excel Workshop"/>
    <x v="3"/>
    <s v="None"/>
  </r>
  <r>
    <n v="3078"/>
    <s v="Emily Walker"/>
    <x v="0"/>
    <n v="21"/>
    <x v="0"/>
    <x v="0"/>
    <x v="0"/>
    <x v="4"/>
    <s v="Sean Tucker PhD"/>
    <s v="2018-11-29"/>
    <x v="1"/>
    <x v="2"/>
    <n v="59506"/>
    <s v="A"/>
    <n v="4428"/>
    <s v="Health + Dental"/>
    <n v="0"/>
    <n v="1"/>
    <s v="None"/>
    <x v="3"/>
    <s v="Certified Professional"/>
  </r>
  <r>
    <n v="6357"/>
    <s v="Vickie Lewis"/>
    <x v="0"/>
    <n v="46"/>
    <x v="4"/>
    <x v="2"/>
    <x v="1"/>
    <x v="4"/>
    <s v="Jacob Scott"/>
    <s v="2022-11-14"/>
    <x v="1"/>
    <x v="2"/>
    <n v="49058"/>
    <s v="B"/>
    <n v="4396"/>
    <s v="None"/>
    <n v="5"/>
    <n v="1"/>
    <s v="None"/>
    <x v="3"/>
    <s v="None"/>
  </r>
  <r>
    <n v="7951"/>
    <s v="Alexis Clark"/>
    <x v="0"/>
    <n v="36"/>
    <x v="2"/>
    <x v="3"/>
    <x v="2"/>
    <x v="4"/>
    <s v="Joel Park"/>
    <s v="2016-02-23"/>
    <x v="1"/>
    <x v="0"/>
    <n v="98612"/>
    <s v="A"/>
    <n v="1168"/>
    <s v="None"/>
    <n v="9"/>
    <n v="2"/>
    <s v="Excel Workshop"/>
    <x v="0"/>
    <s v="Certified Professional"/>
  </r>
  <r>
    <n v="9228"/>
    <s v="Robert Davis"/>
    <x v="1"/>
    <n v="41"/>
    <x v="2"/>
    <x v="4"/>
    <x v="3"/>
    <x v="1"/>
    <s v="Russell Marshall"/>
    <s v="2018-05-18"/>
    <x v="2"/>
    <x v="1"/>
    <n v="38201"/>
    <s v="A"/>
    <n v="7111"/>
    <s v="Health"/>
    <n v="8"/>
    <n v="4"/>
    <s v="Leadership Training"/>
    <x v="3"/>
    <s v="None"/>
  </r>
  <r>
    <n v="8988"/>
    <s v="Daniel Brown MD"/>
    <x v="1"/>
    <n v="25"/>
    <x v="0"/>
    <x v="0"/>
    <x v="2"/>
    <x v="2"/>
    <s v="James Holden"/>
    <s v="2024-03-09"/>
    <x v="2"/>
    <x v="1"/>
    <n v="92919"/>
    <s v="D"/>
    <n v="9497"/>
    <s v="Health"/>
    <n v="7"/>
    <n v="2"/>
    <s v="None"/>
    <x v="3"/>
    <s v="Advanced Training"/>
  </r>
  <r>
    <n v="1952"/>
    <s v="Anna Payne"/>
    <x v="0"/>
    <n v="29"/>
    <x v="1"/>
    <x v="4"/>
    <x v="0"/>
    <x v="1"/>
    <s v="Thomas Murphy"/>
    <s v="2024-03-27"/>
    <x v="0"/>
    <x v="2"/>
    <n v="45188"/>
    <s v="A"/>
    <n v="9591"/>
    <s v="Health + Dental"/>
    <n v="18"/>
    <n v="3"/>
    <s v="Leadership Training"/>
    <x v="3"/>
    <s v="None"/>
  </r>
  <r>
    <n v="5760"/>
    <s v="Rhonda Pena"/>
    <x v="0"/>
    <n v="59"/>
    <x v="3"/>
    <x v="2"/>
    <x v="1"/>
    <x v="0"/>
    <s v="Mark Abbott"/>
    <s v="2019-12-23"/>
    <x v="0"/>
    <x v="1"/>
    <n v="34927"/>
    <s v="D"/>
    <n v="6996"/>
    <s v="Health + Dental"/>
    <n v="16"/>
    <n v="1"/>
    <s v="Excel Workshop"/>
    <x v="0"/>
    <s v="Certified Professional"/>
  </r>
  <r>
    <n v="5742"/>
    <s v="Nicole Gonzalez"/>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0BC80B-1FB7-4C2A-997A-5519903E6DD5}" name="Departments"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R10" firstHeaderRow="1" firstDataRow="1" firstDataCol="1"/>
  <pivotFields count="21">
    <pivotField showAll="0"/>
    <pivotField showAll="0"/>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formats count="7">
    <format dxfId="848">
      <pivotArea collapsedLevelsAreSubtotals="1" fieldPosition="0">
        <references count="1">
          <reference field="7" count="0"/>
        </references>
      </pivotArea>
    </format>
    <format dxfId="847">
      <pivotArea type="all" dataOnly="0" outline="0" fieldPosition="0"/>
    </format>
    <format dxfId="846">
      <pivotArea outline="0" collapsedLevelsAreSubtotals="1" fieldPosition="0"/>
    </format>
    <format dxfId="845">
      <pivotArea field="7" type="button" dataOnly="0" labelOnly="1" outline="0" axis="axisRow" fieldPosition="0"/>
    </format>
    <format dxfId="844">
      <pivotArea dataOnly="0" labelOnly="1" fieldPosition="0">
        <references count="1">
          <reference field="7" count="0"/>
        </references>
      </pivotArea>
    </format>
    <format dxfId="843">
      <pivotArea dataOnly="0" labelOnly="1" grandRow="1" outline="0" fieldPosition="0"/>
    </format>
    <format dxfId="8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F59ACF-B208-4487-B511-27276C9DBEDB}" name="Region"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27:F33"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5" count="1" selected="0">
            <x v="0"/>
          </reference>
        </references>
      </pivotArea>
    </chartFormat>
    <chartFormat chart="4" format="4">
      <pivotArea type="data" outline="0" fieldPosition="0">
        <references count="2">
          <reference field="4294967294" count="1" selected="0">
            <x v="0"/>
          </reference>
          <reference field="5" count="1" selected="0">
            <x v="1"/>
          </reference>
        </references>
      </pivotArea>
    </chartFormat>
    <chartFormat chart="4" format="5">
      <pivotArea type="data" outline="0" fieldPosition="0">
        <references count="2">
          <reference field="4294967294" count="1" selected="0">
            <x v="0"/>
          </reference>
          <reference field="5" count="1" selected="0">
            <x v="2"/>
          </reference>
        </references>
      </pivotArea>
    </chartFormat>
    <chartFormat chart="4" format="6">
      <pivotArea type="data" outline="0" fieldPosition="0">
        <references count="2">
          <reference field="4294967294" count="1" selected="0">
            <x v="0"/>
          </reference>
          <reference field="5" count="1" selected="0">
            <x v="3"/>
          </reference>
        </references>
      </pivotArea>
    </chartFormat>
    <chartFormat chart="4" format="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CC9B30-5D42-4301-B9B3-E667C7A09D99}" name="Skills"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C26"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formats count="6">
    <format dxfId="854">
      <pivotArea type="all" dataOnly="0" outline="0" fieldPosition="0"/>
    </format>
    <format dxfId="853">
      <pivotArea outline="0" collapsedLevelsAreSubtotals="1" fieldPosition="0"/>
    </format>
    <format dxfId="852">
      <pivotArea field="19" type="button" dataOnly="0" labelOnly="1" outline="0" axis="axisRow" fieldPosition="0"/>
    </format>
    <format dxfId="851">
      <pivotArea dataOnly="0" labelOnly="1" fieldPosition="0">
        <references count="1">
          <reference field="19" count="0"/>
        </references>
      </pivotArea>
    </format>
    <format dxfId="850">
      <pivotArea dataOnly="0" labelOnly="1" grandRow="1" outline="0" fieldPosition="0"/>
    </format>
    <format dxfId="8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C3F35D-9560-43A5-B74D-B69EBDA46E5A}" name="Workplace"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O9"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formats count="6">
    <format dxfId="860">
      <pivotArea type="all" dataOnly="0" outline="0" fieldPosition="0"/>
    </format>
    <format dxfId="859">
      <pivotArea outline="0" collapsedLevelsAreSubtotals="1" fieldPosition="0"/>
    </format>
    <format dxfId="858">
      <pivotArea field="11" type="button" dataOnly="0" labelOnly="1" outline="0" axis="axisRow" fieldPosition="0"/>
    </format>
    <format dxfId="857">
      <pivotArea dataOnly="0" labelOnly="1" fieldPosition="0">
        <references count="1">
          <reference field="11" count="0"/>
        </references>
      </pivotArea>
    </format>
    <format dxfId="856">
      <pivotArea dataOnly="0" labelOnly="1" grandRow="1" outline="0" fieldPosition="0"/>
    </format>
    <format dxfId="8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506E60-F205-45E8-808D-909B459C88DD}" name="Age range"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5:L12"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formats count="10">
    <format dxfId="870">
      <pivotArea type="all" dataOnly="0" outline="0" fieldPosition="0"/>
    </format>
    <format dxfId="869">
      <pivotArea outline="0" collapsedLevelsAreSubtotals="1" fieldPosition="0"/>
    </format>
    <format dxfId="868">
      <pivotArea type="origin" dataOnly="0" labelOnly="1" outline="0" fieldPosition="0"/>
    </format>
    <format dxfId="867">
      <pivotArea field="2" type="button" dataOnly="0" labelOnly="1" outline="0" axis="axisCol" fieldPosition="0"/>
    </format>
    <format dxfId="866">
      <pivotArea type="topRight" dataOnly="0" labelOnly="1" outline="0" fieldPosition="0"/>
    </format>
    <format dxfId="865">
      <pivotArea field="4" type="button" dataOnly="0" labelOnly="1" outline="0" axis="axisRow" fieldPosition="0"/>
    </format>
    <format dxfId="864">
      <pivotArea dataOnly="0" labelOnly="1" fieldPosition="0">
        <references count="1">
          <reference field="4" count="0"/>
        </references>
      </pivotArea>
    </format>
    <format dxfId="863">
      <pivotArea dataOnly="0" labelOnly="1" grandRow="1" outline="0" fieldPosition="0"/>
    </format>
    <format dxfId="862">
      <pivotArea dataOnly="0" labelOnly="1" fieldPosition="0">
        <references count="1">
          <reference field="2" count="0"/>
        </references>
      </pivotArea>
    </format>
    <format dxfId="861">
      <pivotArea dataOnly="0" labelOnly="1" grandCol="1" outline="0" fieldPosition="0"/>
    </format>
  </formats>
  <chartFormats count="2">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033E79-7C2F-42EB-BD04-BF7B3641C1C7}" name="salaries"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G13"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7">
    <format dxfId="877">
      <pivotArea type="all" dataOnly="0" outline="0" fieldPosition="0"/>
    </format>
    <format dxfId="876">
      <pivotArea outline="0" collapsedLevelsAreSubtotals="1" fieldPosition="0"/>
    </format>
    <format dxfId="875">
      <pivotArea field="6" type="button" dataOnly="0" labelOnly="1" outline="0" axis="axisRow" fieldPosition="0"/>
    </format>
    <format dxfId="874">
      <pivotArea dataOnly="0" labelOnly="1" fieldPosition="0">
        <references count="1">
          <reference field="6" count="0"/>
        </references>
      </pivotArea>
    </format>
    <format dxfId="873">
      <pivotArea dataOnly="0" labelOnly="1" grandRow="1" outline="0" fieldPosition="0"/>
    </format>
    <format dxfId="872">
      <pivotArea dataOnly="0" labelOnly="1" outline="0" axis="axisValues" fieldPosition="0"/>
    </format>
    <format dxfId="871">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7F6D75-BA33-45A4-98F4-B9C47E9FDB9D}" name="employment status "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C11"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DCD4A02-D405-40CF-8534-80FEF1532FDE}" sourceName="Gender">
  <pivotTables>
    <pivotTable tabId="3" name="salaries"/>
    <pivotTable tabId="3" name="Departments"/>
    <pivotTable tabId="3" name="employment status "/>
    <pivotTable tabId="3" name="Region"/>
    <pivotTable tabId="3" name="Skills"/>
    <pivotTable tabId="3" name="Workplace"/>
  </pivotTables>
  <data>
    <tabular pivotCacheId="78489959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B4A0138-078D-4854-B355-4EC1ECFA6B0C}" sourceName="Department">
  <pivotTables>
    <pivotTable tabId="3" name="salaries"/>
    <pivotTable tabId="3" name="Age range"/>
    <pivotTable tabId="3" name="Departments"/>
    <pivotTable tabId="3" name="employment status "/>
    <pivotTable tabId="3" name="Region"/>
    <pivotTable tabId="3" name="Skills"/>
    <pivotTable tabId="3" name="Workplace"/>
  </pivotTables>
  <data>
    <tabular pivotCacheId="784899596">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FF134A0-3C48-406D-8890-134C02B7AAF9}" cache="Slicer_Gender" columnCount="2" style="Slicer Style 3" rowHeight="241300"/>
  <slicer name="Department" xr10:uid="{E8D7ECB0-49DF-4B2E-9A69-70AC11456A8D}" cache="Slicer_Department" columnCount="3" style="Slicer Style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06087F-90D3-4DB2-8C41-D89DD2E161C3}" name="Table1" displayName="Table1" ref="A1:U51" totalsRowShown="0" headerRowDxfId="900" dataDxfId="899">
  <autoFilter ref="A1:U51" xr:uid="{6506087F-90D3-4DB2-8C41-D89DD2E161C3}"/>
  <tableColumns count="21">
    <tableColumn id="1" xr3:uid="{ACE56E16-E63D-435A-8945-190A0A0E05B2}" name="Employee ID" dataDxfId="898"/>
    <tableColumn id="2" xr3:uid="{19DBB73D-5FAD-46D9-AC0F-A2185623490F}" name="Full Name" dataDxfId="897"/>
    <tableColumn id="3" xr3:uid="{71C1EA06-DFBB-4832-BD1A-FCB99047F225}" name="Gender" dataDxfId="896"/>
    <tableColumn id="4" xr3:uid="{4F500A38-C63F-4E15-ADB0-29ADCB26254F}" name="Age" dataDxfId="895"/>
    <tableColumn id="5" xr3:uid="{35386741-7E57-4214-8355-A4F1089F9A7E}" name="Age range" dataDxfId="894"/>
    <tableColumn id="6" xr3:uid="{E87A08A1-F907-46FA-A27C-6EEDE750EDF1}" name="Region" dataDxfId="893"/>
    <tableColumn id="7" xr3:uid="{B424C798-261F-4042-901F-22B13A3E1E88}" name="Job Title" dataDxfId="892"/>
    <tableColumn id="8" xr3:uid="{28F802FB-443F-4CD8-9519-D06900A4A8A4}" name="Department" dataDxfId="891"/>
    <tableColumn id="9" xr3:uid="{5AC40D1E-8D6D-4316-B6FE-BFA5ADE6D8C9}" name="Manager/Supervisor" dataDxfId="890"/>
    <tableColumn id="10" xr3:uid="{A77004A8-AF3C-4AAA-A8C9-DB4A0582F5C7}" name="Date of Hire" dataDxfId="889"/>
    <tableColumn id="11" xr3:uid="{E15960B6-623F-406B-8BCE-B25C198A256F}" name="Employment Status" dataDxfId="888"/>
    <tableColumn id="12" xr3:uid="{758B9598-B165-4BDF-8073-9311A93742E0}" name="Work Location" dataDxfId="887"/>
    <tableColumn id="13" xr3:uid="{61495D94-95CA-44A0-BDA4-E6A4FF691D5D}" name="Salary" dataDxfId="886"/>
    <tableColumn id="14" xr3:uid="{F70BA091-F272-447B-962C-31F84F536CA5}" name="Pay Grade" dataDxfId="885"/>
    <tableColumn id="15" xr3:uid="{069EE8BB-25AF-4D1B-888A-6580CA780425}" name="Bonus/Allowances" dataDxfId="884"/>
    <tableColumn id="16" xr3:uid="{DCE23A1D-BCEC-445E-AACE-612166A96DC5}" name="Insurance Details" dataDxfId="883"/>
    <tableColumn id="17" xr3:uid="{2BDEF1C8-4516-4D4A-B3AD-C741E0DADDFB}" name="Leave Taken" dataDxfId="882"/>
    <tableColumn id="18" xr3:uid="{482DB11D-069D-4915-94D5-FE8707400F9B}" name="Performance Rating" dataDxfId="881"/>
    <tableColumn id="19" xr3:uid="{A2B7FFC2-ADC1-4BD7-9389-FECC25962DB2}" name="Training Programs Attended" dataDxfId="880"/>
    <tableColumn id="20" xr3:uid="{D9B9F5B5-ED07-4466-B6C8-FFE511319555}" name="Skills" dataDxfId="879"/>
    <tableColumn id="21" xr3:uid="{62BC9217-9AEA-44A5-AE38-A26044B035CD}" name="Certifications" dataDxfId="87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636D-403F-437F-92AD-3F184EBA339F}">
  <dimension ref="A1:A7"/>
  <sheetViews>
    <sheetView showGridLines="0" tabSelected="1" zoomScale="93" zoomScaleNormal="93" workbookViewId="0">
      <selection activeCell="U14" sqref="U14"/>
    </sheetView>
  </sheetViews>
  <sheetFormatPr defaultRowHeight="14.25"/>
  <cols>
    <col min="1" max="16384" width="9" style="2"/>
  </cols>
  <sheetData>
    <row r="1" s="2" customFormat="1"/>
    <row r="2" s="2" customFormat="1"/>
    <row r="3" s="2" customFormat="1"/>
    <row r="4" s="2" customFormat="1"/>
    <row r="5" s="2" customFormat="1"/>
    <row r="6" s="2" customFormat="1"/>
    <row r="7" s="2" customFormat="1"/>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014E8-738E-4293-A724-6236AE0B61F9}">
  <dimension ref="A1:U51"/>
  <sheetViews>
    <sheetView topLeftCell="A2" workbookViewId="0">
      <selection activeCell="E7" sqref="E7"/>
    </sheetView>
  </sheetViews>
  <sheetFormatPr defaultRowHeight="14.25"/>
  <cols>
    <col min="1" max="1" width="15.5" style="4" bestFit="1" customWidth="1"/>
    <col min="2" max="2" width="15.875" style="4" bestFit="1" customWidth="1"/>
    <col min="3" max="3" width="11.25" style="4" bestFit="1" customWidth="1"/>
    <col min="4" max="4" width="8.375" style="4" bestFit="1" customWidth="1"/>
    <col min="5" max="5" width="13.875" style="4" bestFit="1" customWidth="1"/>
    <col min="6" max="6" width="10.75" style="4" bestFit="1" customWidth="1"/>
    <col min="7" max="7" width="12.375" style="4" bestFit="1" customWidth="1"/>
    <col min="8" max="8" width="15.25" style="4" bestFit="1" customWidth="1"/>
    <col min="9" max="9" width="22.5" style="4" bestFit="1" customWidth="1"/>
    <col min="10" max="10" width="15.75" style="4" bestFit="1" customWidth="1"/>
    <col min="11" max="11" width="21.875" style="4" bestFit="1" customWidth="1"/>
    <col min="12" max="12" width="17.75" style="4" bestFit="1" customWidth="1"/>
    <col min="13" max="13" width="10.375" style="4" bestFit="1" customWidth="1"/>
    <col min="14" max="14" width="14.125" style="4" bestFit="1" customWidth="1"/>
    <col min="15" max="15" width="21" style="4" bestFit="1" customWidth="1"/>
    <col min="16" max="16" width="19.875" style="4" bestFit="1" customWidth="1"/>
    <col min="17" max="17" width="15.875" style="4" bestFit="1" customWidth="1"/>
    <col min="18" max="18" width="22.25" style="4" bestFit="1" customWidth="1"/>
    <col min="19" max="19" width="29.75" style="4" bestFit="1" customWidth="1"/>
    <col min="20" max="20" width="14" style="4" bestFit="1" customWidth="1"/>
    <col min="21" max="21" width="18.5" style="4" bestFit="1" customWidth="1"/>
    <col min="22" max="16384" width="9" style="4"/>
  </cols>
  <sheetData>
    <row r="1" spans="1:21" ht="1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c r="A2" s="5">
        <v>4294</v>
      </c>
      <c r="B2" s="5" t="s">
        <v>21</v>
      </c>
      <c r="C2" s="5" t="s">
        <v>22</v>
      </c>
      <c r="D2" s="5">
        <v>25</v>
      </c>
      <c r="E2" s="5" t="s">
        <v>23</v>
      </c>
      <c r="F2" s="5" t="s">
        <v>24</v>
      </c>
      <c r="G2" s="5" t="s">
        <v>25</v>
      </c>
      <c r="H2" s="5" t="s">
        <v>26</v>
      </c>
      <c r="I2" s="5" t="s">
        <v>27</v>
      </c>
      <c r="J2" s="5" t="s">
        <v>28</v>
      </c>
      <c r="K2" s="5" t="s">
        <v>29</v>
      </c>
      <c r="L2" s="5" t="s">
        <v>30</v>
      </c>
      <c r="M2" s="5">
        <v>53700</v>
      </c>
      <c r="N2" s="5" t="s">
        <v>31</v>
      </c>
      <c r="O2" s="5">
        <v>1463</v>
      </c>
      <c r="P2" s="5" t="s">
        <v>32</v>
      </c>
      <c r="Q2" s="5">
        <v>1</v>
      </c>
      <c r="R2" s="5">
        <v>1</v>
      </c>
      <c r="S2" s="5" t="s">
        <v>33</v>
      </c>
      <c r="T2" s="5" t="s">
        <v>34</v>
      </c>
      <c r="U2" s="5" t="s">
        <v>35</v>
      </c>
    </row>
    <row r="3" spans="1:21">
      <c r="A3" s="5">
        <v>9116</v>
      </c>
      <c r="B3" s="5" t="s">
        <v>36</v>
      </c>
      <c r="C3" s="5" t="s">
        <v>37</v>
      </c>
      <c r="D3" s="5">
        <v>27</v>
      </c>
      <c r="E3" s="5" t="s">
        <v>38</v>
      </c>
      <c r="F3" s="5" t="s">
        <v>39</v>
      </c>
      <c r="G3" s="5" t="s">
        <v>40</v>
      </c>
      <c r="H3" s="5" t="s">
        <v>41</v>
      </c>
      <c r="I3" s="5" t="s">
        <v>42</v>
      </c>
      <c r="J3" s="5" t="s">
        <v>43</v>
      </c>
      <c r="K3" s="5" t="s">
        <v>29</v>
      </c>
      <c r="L3" s="5" t="s">
        <v>44</v>
      </c>
      <c r="M3" s="5">
        <v>91091</v>
      </c>
      <c r="N3" s="5" t="s">
        <v>45</v>
      </c>
      <c r="O3" s="5">
        <v>1024</v>
      </c>
      <c r="P3" s="5" t="s">
        <v>46</v>
      </c>
      <c r="Q3" s="5">
        <v>19</v>
      </c>
      <c r="R3" s="5">
        <v>4</v>
      </c>
      <c r="S3" s="5" t="s">
        <v>47</v>
      </c>
      <c r="T3" s="5" t="s">
        <v>34</v>
      </c>
      <c r="U3" s="5" t="s">
        <v>35</v>
      </c>
    </row>
    <row r="4" spans="1:21">
      <c r="A4" s="5">
        <v>5120</v>
      </c>
      <c r="B4" s="5" t="s">
        <v>48</v>
      </c>
      <c r="C4" s="5" t="s">
        <v>37</v>
      </c>
      <c r="D4" s="5">
        <v>34</v>
      </c>
      <c r="E4" s="5" t="s">
        <v>38</v>
      </c>
      <c r="F4" s="5" t="s">
        <v>49</v>
      </c>
      <c r="G4" s="5" t="s">
        <v>50</v>
      </c>
      <c r="H4" s="5" t="s">
        <v>51</v>
      </c>
      <c r="I4" s="5" t="s">
        <v>52</v>
      </c>
      <c r="J4" s="5" t="s">
        <v>53</v>
      </c>
      <c r="K4" s="5" t="s">
        <v>29</v>
      </c>
      <c r="L4" s="5" t="s">
        <v>54</v>
      </c>
      <c r="M4" s="5">
        <v>57538</v>
      </c>
      <c r="N4" s="5" t="s">
        <v>55</v>
      </c>
      <c r="O4" s="5">
        <v>1674</v>
      </c>
      <c r="P4" s="5" t="s">
        <v>46</v>
      </c>
      <c r="Q4" s="5">
        <v>8</v>
      </c>
      <c r="R4" s="5">
        <v>1</v>
      </c>
      <c r="S4" s="5" t="s">
        <v>46</v>
      </c>
      <c r="T4" s="5" t="s">
        <v>56</v>
      </c>
      <c r="U4" s="5" t="s">
        <v>57</v>
      </c>
    </row>
    <row r="5" spans="1:21">
      <c r="A5" s="5">
        <v>8071</v>
      </c>
      <c r="B5" s="5" t="s">
        <v>58</v>
      </c>
      <c r="C5" s="5" t="s">
        <v>22</v>
      </c>
      <c r="D5" s="5">
        <v>41</v>
      </c>
      <c r="E5" s="5" t="s">
        <v>59</v>
      </c>
      <c r="F5" s="5" t="s">
        <v>49</v>
      </c>
      <c r="G5" s="5" t="s">
        <v>25</v>
      </c>
      <c r="H5" s="5" t="s">
        <v>60</v>
      </c>
      <c r="I5" s="5" t="s">
        <v>61</v>
      </c>
      <c r="J5" s="5" t="s">
        <v>62</v>
      </c>
      <c r="K5" s="5" t="s">
        <v>63</v>
      </c>
      <c r="L5" s="5" t="s">
        <v>30</v>
      </c>
      <c r="M5" s="5">
        <v>62993</v>
      </c>
      <c r="N5" s="5" t="s">
        <v>64</v>
      </c>
      <c r="O5" s="5">
        <v>2695</v>
      </c>
      <c r="P5" s="5" t="s">
        <v>65</v>
      </c>
      <c r="Q5" s="5">
        <v>0</v>
      </c>
      <c r="R5" s="5">
        <v>2</v>
      </c>
      <c r="S5" s="5" t="s">
        <v>46</v>
      </c>
      <c r="T5" s="5" t="s">
        <v>66</v>
      </c>
      <c r="U5" s="5" t="s">
        <v>46</v>
      </c>
    </row>
    <row r="6" spans="1:21">
      <c r="A6" s="5">
        <v>9351</v>
      </c>
      <c r="B6" s="5" t="s">
        <v>67</v>
      </c>
      <c r="C6" s="5" t="s">
        <v>37</v>
      </c>
      <c r="D6" s="5">
        <v>56</v>
      </c>
      <c r="E6" s="5" t="s">
        <v>68</v>
      </c>
      <c r="F6" s="5" t="s">
        <v>24</v>
      </c>
      <c r="G6" s="5" t="s">
        <v>25</v>
      </c>
      <c r="H6" s="5" t="s">
        <v>51</v>
      </c>
      <c r="I6" s="5" t="s">
        <v>69</v>
      </c>
      <c r="J6" s="5" t="s">
        <v>70</v>
      </c>
      <c r="K6" s="5" t="s">
        <v>63</v>
      </c>
      <c r="L6" s="5" t="s">
        <v>44</v>
      </c>
      <c r="M6" s="5">
        <v>45773</v>
      </c>
      <c r="N6" s="5" t="s">
        <v>64</v>
      </c>
      <c r="O6" s="5">
        <v>8776</v>
      </c>
      <c r="P6" s="5" t="s">
        <v>32</v>
      </c>
      <c r="Q6" s="5">
        <v>16</v>
      </c>
      <c r="R6" s="5">
        <v>4</v>
      </c>
      <c r="S6" s="5" t="s">
        <v>33</v>
      </c>
      <c r="T6" s="5" t="s">
        <v>66</v>
      </c>
      <c r="U6" s="5" t="s">
        <v>46</v>
      </c>
    </row>
    <row r="7" spans="1:21">
      <c r="A7" s="5">
        <v>2873</v>
      </c>
      <c r="B7" s="5" t="s">
        <v>71</v>
      </c>
      <c r="C7" s="5" t="s">
        <v>22</v>
      </c>
      <c r="D7" s="5">
        <v>28</v>
      </c>
      <c r="E7" s="5" t="s">
        <v>38</v>
      </c>
      <c r="F7" s="5" t="s">
        <v>49</v>
      </c>
      <c r="G7" s="5" t="s">
        <v>72</v>
      </c>
      <c r="H7" s="5" t="s">
        <v>51</v>
      </c>
      <c r="I7" s="5" t="s">
        <v>73</v>
      </c>
      <c r="J7" s="5" t="s">
        <v>74</v>
      </c>
      <c r="K7" s="5" t="s">
        <v>29</v>
      </c>
      <c r="L7" s="5" t="s">
        <v>44</v>
      </c>
      <c r="M7" s="5">
        <v>96249</v>
      </c>
      <c r="N7" s="5" t="s">
        <v>31</v>
      </c>
      <c r="O7" s="5">
        <v>4826</v>
      </c>
      <c r="P7" s="5" t="s">
        <v>65</v>
      </c>
      <c r="Q7" s="5">
        <v>7</v>
      </c>
      <c r="R7" s="5">
        <v>3</v>
      </c>
      <c r="S7" s="5" t="s">
        <v>33</v>
      </c>
      <c r="T7" s="5" t="s">
        <v>75</v>
      </c>
      <c r="U7" s="5" t="s">
        <v>35</v>
      </c>
    </row>
    <row r="8" spans="1:21">
      <c r="A8" s="5">
        <v>3540</v>
      </c>
      <c r="B8" s="5" t="s">
        <v>76</v>
      </c>
      <c r="C8" s="5" t="s">
        <v>22</v>
      </c>
      <c r="D8" s="5">
        <v>20</v>
      </c>
      <c r="E8" s="5" t="s">
        <v>23</v>
      </c>
      <c r="F8" s="5" t="s">
        <v>39</v>
      </c>
      <c r="G8" s="5" t="s">
        <v>50</v>
      </c>
      <c r="H8" s="5" t="s">
        <v>51</v>
      </c>
      <c r="I8" s="5" t="s">
        <v>77</v>
      </c>
      <c r="J8" s="5" t="s">
        <v>78</v>
      </c>
      <c r="K8" s="5" t="s">
        <v>29</v>
      </c>
      <c r="L8" s="5" t="s">
        <v>54</v>
      </c>
      <c r="M8" s="5">
        <v>61596</v>
      </c>
      <c r="N8" s="5" t="s">
        <v>31</v>
      </c>
      <c r="O8" s="5">
        <v>8818</v>
      </c>
      <c r="P8" s="5" t="s">
        <v>65</v>
      </c>
      <c r="Q8" s="5">
        <v>4</v>
      </c>
      <c r="R8" s="5">
        <v>2</v>
      </c>
      <c r="S8" s="5" t="s">
        <v>33</v>
      </c>
      <c r="T8" s="5" t="s">
        <v>56</v>
      </c>
      <c r="U8" s="5" t="s">
        <v>46</v>
      </c>
    </row>
    <row r="9" spans="1:21">
      <c r="A9" s="5">
        <v>3653</v>
      </c>
      <c r="B9" s="5" t="s">
        <v>79</v>
      </c>
      <c r="C9" s="5" t="s">
        <v>22</v>
      </c>
      <c r="D9" s="5">
        <v>58</v>
      </c>
      <c r="E9" s="5" t="s">
        <v>68</v>
      </c>
      <c r="F9" s="5" t="s">
        <v>80</v>
      </c>
      <c r="G9" s="5" t="s">
        <v>40</v>
      </c>
      <c r="H9" s="5" t="s">
        <v>81</v>
      </c>
      <c r="I9" s="5" t="s">
        <v>82</v>
      </c>
      <c r="J9" s="5" t="s">
        <v>83</v>
      </c>
      <c r="K9" s="5" t="s">
        <v>29</v>
      </c>
      <c r="L9" s="5" t="s">
        <v>54</v>
      </c>
      <c r="M9" s="5">
        <v>97869</v>
      </c>
      <c r="N9" s="5" t="s">
        <v>64</v>
      </c>
      <c r="O9" s="5">
        <v>1966</v>
      </c>
      <c r="P9" s="5" t="s">
        <v>32</v>
      </c>
      <c r="Q9" s="5">
        <v>10</v>
      </c>
      <c r="R9" s="5">
        <v>1</v>
      </c>
      <c r="S9" s="5" t="s">
        <v>33</v>
      </c>
      <c r="T9" s="5" t="s">
        <v>34</v>
      </c>
      <c r="U9" s="5" t="s">
        <v>35</v>
      </c>
    </row>
    <row r="10" spans="1:21">
      <c r="A10" s="5">
        <v>5587</v>
      </c>
      <c r="B10" s="5" t="s">
        <v>84</v>
      </c>
      <c r="C10" s="5" t="s">
        <v>22</v>
      </c>
      <c r="D10" s="5">
        <v>44</v>
      </c>
      <c r="E10" s="5" t="s">
        <v>59</v>
      </c>
      <c r="F10" s="5" t="s">
        <v>80</v>
      </c>
      <c r="G10" s="5" t="s">
        <v>50</v>
      </c>
      <c r="H10" s="5" t="s">
        <v>51</v>
      </c>
      <c r="I10" s="5" t="s">
        <v>85</v>
      </c>
      <c r="J10" s="5" t="s">
        <v>86</v>
      </c>
      <c r="K10" s="5" t="s">
        <v>29</v>
      </c>
      <c r="L10" s="5" t="s">
        <v>30</v>
      </c>
      <c r="M10" s="5">
        <v>81235</v>
      </c>
      <c r="N10" s="5" t="s">
        <v>64</v>
      </c>
      <c r="O10" s="5">
        <v>6553</v>
      </c>
      <c r="P10" s="5" t="s">
        <v>46</v>
      </c>
      <c r="Q10" s="5">
        <v>16</v>
      </c>
      <c r="R10" s="5">
        <v>2</v>
      </c>
      <c r="S10" s="5" t="s">
        <v>46</v>
      </c>
      <c r="T10" s="5" t="s">
        <v>56</v>
      </c>
      <c r="U10" s="5" t="s">
        <v>35</v>
      </c>
    </row>
    <row r="11" spans="1:21">
      <c r="A11" s="5">
        <v>9554</v>
      </c>
      <c r="B11" s="5" t="s">
        <v>87</v>
      </c>
      <c r="C11" s="5" t="s">
        <v>22</v>
      </c>
      <c r="D11" s="5">
        <v>29</v>
      </c>
      <c r="E11" s="5" t="s">
        <v>38</v>
      </c>
      <c r="F11" s="5" t="s">
        <v>39</v>
      </c>
      <c r="G11" s="5" t="s">
        <v>50</v>
      </c>
      <c r="H11" s="5" t="s">
        <v>60</v>
      </c>
      <c r="I11" s="5" t="s">
        <v>88</v>
      </c>
      <c r="J11" s="5" t="s">
        <v>89</v>
      </c>
      <c r="K11" s="5" t="s">
        <v>29</v>
      </c>
      <c r="L11" s="5" t="s">
        <v>44</v>
      </c>
      <c r="M11" s="5">
        <v>87852</v>
      </c>
      <c r="N11" s="5" t="s">
        <v>64</v>
      </c>
      <c r="O11" s="5">
        <v>4980</v>
      </c>
      <c r="P11" s="5" t="s">
        <v>65</v>
      </c>
      <c r="Q11" s="5">
        <v>19</v>
      </c>
      <c r="R11" s="5">
        <v>3</v>
      </c>
      <c r="S11" s="5" t="s">
        <v>46</v>
      </c>
      <c r="T11" s="5" t="s">
        <v>66</v>
      </c>
      <c r="U11" s="5" t="s">
        <v>35</v>
      </c>
    </row>
    <row r="12" spans="1:21">
      <c r="A12" s="5">
        <v>6213</v>
      </c>
      <c r="B12" s="5" t="s">
        <v>90</v>
      </c>
      <c r="C12" s="5" t="s">
        <v>37</v>
      </c>
      <c r="D12" s="5">
        <v>23</v>
      </c>
      <c r="E12" s="5" t="s">
        <v>23</v>
      </c>
      <c r="F12" s="5" t="s">
        <v>80</v>
      </c>
      <c r="G12" s="5" t="s">
        <v>25</v>
      </c>
      <c r="H12" s="5" t="s">
        <v>51</v>
      </c>
      <c r="I12" s="5" t="s">
        <v>91</v>
      </c>
      <c r="J12" s="5" t="s">
        <v>92</v>
      </c>
      <c r="K12" s="5" t="s">
        <v>63</v>
      </c>
      <c r="L12" s="5" t="s">
        <v>44</v>
      </c>
      <c r="M12" s="5">
        <v>59359</v>
      </c>
      <c r="N12" s="5" t="s">
        <v>64</v>
      </c>
      <c r="O12" s="5">
        <v>9449</v>
      </c>
      <c r="P12" s="5" t="s">
        <v>65</v>
      </c>
      <c r="Q12" s="5">
        <v>20</v>
      </c>
      <c r="R12" s="5">
        <v>3</v>
      </c>
      <c r="S12" s="5" t="s">
        <v>46</v>
      </c>
      <c r="T12" s="5" t="s">
        <v>56</v>
      </c>
      <c r="U12" s="5" t="s">
        <v>46</v>
      </c>
    </row>
    <row r="13" spans="1:21">
      <c r="A13" s="5">
        <v>9105</v>
      </c>
      <c r="B13" s="5" t="s">
        <v>93</v>
      </c>
      <c r="C13" s="5" t="s">
        <v>37</v>
      </c>
      <c r="D13" s="5">
        <v>30</v>
      </c>
      <c r="E13" s="5" t="s">
        <v>38</v>
      </c>
      <c r="F13" s="5" t="s">
        <v>24</v>
      </c>
      <c r="G13" s="5" t="s">
        <v>40</v>
      </c>
      <c r="H13" s="5" t="s">
        <v>26</v>
      </c>
      <c r="I13" s="5" t="s">
        <v>94</v>
      </c>
      <c r="J13" s="5" t="s">
        <v>95</v>
      </c>
      <c r="K13" s="5" t="s">
        <v>63</v>
      </c>
      <c r="L13" s="5" t="s">
        <v>54</v>
      </c>
      <c r="M13" s="5">
        <v>81225</v>
      </c>
      <c r="N13" s="5" t="s">
        <v>55</v>
      </c>
      <c r="O13" s="5">
        <v>6202</v>
      </c>
      <c r="P13" s="5" t="s">
        <v>65</v>
      </c>
      <c r="Q13" s="5">
        <v>2</v>
      </c>
      <c r="R13" s="5">
        <v>2</v>
      </c>
      <c r="S13" s="5" t="s">
        <v>47</v>
      </c>
      <c r="T13" s="5" t="s">
        <v>96</v>
      </c>
      <c r="U13" s="5" t="s">
        <v>35</v>
      </c>
    </row>
    <row r="14" spans="1:21">
      <c r="A14" s="5">
        <v>9508</v>
      </c>
      <c r="B14" s="5" t="s">
        <v>97</v>
      </c>
      <c r="C14" s="5" t="s">
        <v>22</v>
      </c>
      <c r="D14" s="5">
        <v>49</v>
      </c>
      <c r="E14" s="5" t="s">
        <v>98</v>
      </c>
      <c r="F14" s="5" t="s">
        <v>39</v>
      </c>
      <c r="G14" s="5" t="s">
        <v>25</v>
      </c>
      <c r="H14" s="5" t="s">
        <v>26</v>
      </c>
      <c r="I14" s="5" t="s">
        <v>99</v>
      </c>
      <c r="J14" s="5" t="s">
        <v>100</v>
      </c>
      <c r="K14" s="5" t="s">
        <v>63</v>
      </c>
      <c r="L14" s="5" t="s">
        <v>30</v>
      </c>
      <c r="M14" s="5">
        <v>32788</v>
      </c>
      <c r="N14" s="5" t="s">
        <v>55</v>
      </c>
      <c r="O14" s="5">
        <v>4396</v>
      </c>
      <c r="P14" s="5" t="s">
        <v>32</v>
      </c>
      <c r="Q14" s="5">
        <v>13</v>
      </c>
      <c r="R14" s="5">
        <v>5</v>
      </c>
      <c r="S14" s="5" t="s">
        <v>46</v>
      </c>
      <c r="T14" s="5" t="s">
        <v>75</v>
      </c>
      <c r="U14" s="5" t="s">
        <v>57</v>
      </c>
    </row>
    <row r="15" spans="1:21">
      <c r="A15" s="5">
        <v>2436</v>
      </c>
      <c r="B15" s="5" t="s">
        <v>101</v>
      </c>
      <c r="C15" s="5" t="s">
        <v>37</v>
      </c>
      <c r="D15" s="5">
        <v>60</v>
      </c>
      <c r="E15" s="5" t="s">
        <v>68</v>
      </c>
      <c r="F15" s="5" t="s">
        <v>102</v>
      </c>
      <c r="G15" s="5" t="s">
        <v>25</v>
      </c>
      <c r="H15" s="5" t="s">
        <v>60</v>
      </c>
      <c r="I15" s="5" t="s">
        <v>103</v>
      </c>
      <c r="J15" s="5" t="s">
        <v>104</v>
      </c>
      <c r="K15" s="5" t="s">
        <v>63</v>
      </c>
      <c r="L15" s="5" t="s">
        <v>54</v>
      </c>
      <c r="M15" s="5">
        <v>70452</v>
      </c>
      <c r="N15" s="5" t="s">
        <v>55</v>
      </c>
      <c r="O15" s="5">
        <v>9911</v>
      </c>
      <c r="P15" s="5" t="s">
        <v>46</v>
      </c>
      <c r="Q15" s="5">
        <v>2</v>
      </c>
      <c r="R15" s="5">
        <v>1</v>
      </c>
      <c r="S15" s="5" t="s">
        <v>46</v>
      </c>
      <c r="T15" s="5" t="s">
        <v>75</v>
      </c>
      <c r="U15" s="5" t="s">
        <v>35</v>
      </c>
    </row>
    <row r="16" spans="1:21">
      <c r="A16" s="5">
        <v>4441</v>
      </c>
      <c r="B16" s="5" t="s">
        <v>105</v>
      </c>
      <c r="C16" s="5" t="s">
        <v>37</v>
      </c>
      <c r="D16" s="5">
        <v>46</v>
      </c>
      <c r="E16" s="5" t="s">
        <v>98</v>
      </c>
      <c r="F16" s="5" t="s">
        <v>39</v>
      </c>
      <c r="G16" s="5" t="s">
        <v>72</v>
      </c>
      <c r="H16" s="5" t="s">
        <v>26</v>
      </c>
      <c r="I16" s="5" t="s">
        <v>106</v>
      </c>
      <c r="J16" s="5" t="s">
        <v>107</v>
      </c>
      <c r="K16" s="5" t="s">
        <v>29</v>
      </c>
      <c r="L16" s="5" t="s">
        <v>44</v>
      </c>
      <c r="M16" s="5">
        <v>33045</v>
      </c>
      <c r="N16" s="5" t="s">
        <v>45</v>
      </c>
      <c r="O16" s="5">
        <v>1456</v>
      </c>
      <c r="P16" s="5" t="s">
        <v>46</v>
      </c>
      <c r="Q16" s="5">
        <v>16</v>
      </c>
      <c r="R16" s="5">
        <v>3</v>
      </c>
      <c r="S16" s="5" t="s">
        <v>47</v>
      </c>
      <c r="T16" s="5" t="s">
        <v>75</v>
      </c>
      <c r="U16" s="5" t="s">
        <v>46</v>
      </c>
    </row>
    <row r="17" spans="1:21">
      <c r="A17" s="5">
        <v>5827</v>
      </c>
      <c r="B17" s="5" t="s">
        <v>108</v>
      </c>
      <c r="C17" s="5" t="s">
        <v>37</v>
      </c>
      <c r="D17" s="5">
        <v>57</v>
      </c>
      <c r="E17" s="5" t="s">
        <v>68</v>
      </c>
      <c r="F17" s="5" t="s">
        <v>49</v>
      </c>
      <c r="G17" s="5" t="s">
        <v>72</v>
      </c>
      <c r="H17" s="5" t="s">
        <v>41</v>
      </c>
      <c r="I17" s="5" t="s">
        <v>109</v>
      </c>
      <c r="J17" s="5" t="s">
        <v>110</v>
      </c>
      <c r="K17" s="5" t="s">
        <v>111</v>
      </c>
      <c r="L17" s="5" t="s">
        <v>54</v>
      </c>
      <c r="M17" s="5">
        <v>96429</v>
      </c>
      <c r="N17" s="5" t="s">
        <v>31</v>
      </c>
      <c r="O17" s="5">
        <v>4740</v>
      </c>
      <c r="P17" s="5" t="s">
        <v>46</v>
      </c>
      <c r="Q17" s="5">
        <v>8</v>
      </c>
      <c r="R17" s="5">
        <v>1</v>
      </c>
      <c r="S17" s="5" t="s">
        <v>47</v>
      </c>
      <c r="T17" s="5" t="s">
        <v>66</v>
      </c>
      <c r="U17" s="5" t="s">
        <v>46</v>
      </c>
    </row>
    <row r="18" spans="1:21">
      <c r="A18" s="5">
        <v>5184</v>
      </c>
      <c r="B18" s="5" t="s">
        <v>112</v>
      </c>
      <c r="C18" s="5" t="s">
        <v>22</v>
      </c>
      <c r="D18" s="5">
        <v>24</v>
      </c>
      <c r="E18" s="5" t="s">
        <v>23</v>
      </c>
      <c r="F18" s="5" t="s">
        <v>39</v>
      </c>
      <c r="G18" s="5" t="s">
        <v>50</v>
      </c>
      <c r="H18" s="5" t="s">
        <v>51</v>
      </c>
      <c r="I18" s="5" t="s">
        <v>113</v>
      </c>
      <c r="J18" s="5" t="s">
        <v>114</v>
      </c>
      <c r="K18" s="5" t="s">
        <v>111</v>
      </c>
      <c r="L18" s="5" t="s">
        <v>54</v>
      </c>
      <c r="M18" s="5">
        <v>33183</v>
      </c>
      <c r="N18" s="5" t="s">
        <v>64</v>
      </c>
      <c r="O18" s="5">
        <v>8114</v>
      </c>
      <c r="P18" s="5" t="s">
        <v>46</v>
      </c>
      <c r="Q18" s="5">
        <v>4</v>
      </c>
      <c r="R18" s="5">
        <v>2</v>
      </c>
      <c r="S18" s="5" t="s">
        <v>47</v>
      </c>
      <c r="T18" s="5" t="s">
        <v>96</v>
      </c>
      <c r="U18" s="5" t="s">
        <v>57</v>
      </c>
    </row>
    <row r="19" spans="1:21">
      <c r="A19" s="5">
        <v>5874</v>
      </c>
      <c r="B19" s="5" t="s">
        <v>58</v>
      </c>
      <c r="C19" s="5" t="s">
        <v>22</v>
      </c>
      <c r="D19" s="5">
        <v>35</v>
      </c>
      <c r="E19" s="5" t="s">
        <v>38</v>
      </c>
      <c r="F19" s="5" t="s">
        <v>102</v>
      </c>
      <c r="G19" s="5" t="s">
        <v>72</v>
      </c>
      <c r="H19" s="5" t="s">
        <v>26</v>
      </c>
      <c r="I19" s="5" t="s">
        <v>115</v>
      </c>
      <c r="J19" s="5" t="s">
        <v>116</v>
      </c>
      <c r="K19" s="5" t="s">
        <v>111</v>
      </c>
      <c r="L19" s="5" t="s">
        <v>30</v>
      </c>
      <c r="M19" s="5">
        <v>75065</v>
      </c>
      <c r="N19" s="5" t="s">
        <v>31</v>
      </c>
      <c r="O19" s="5">
        <v>7123</v>
      </c>
      <c r="P19" s="5" t="s">
        <v>46</v>
      </c>
      <c r="Q19" s="5">
        <v>20</v>
      </c>
      <c r="R19" s="5">
        <v>2</v>
      </c>
      <c r="S19" s="5" t="s">
        <v>46</v>
      </c>
      <c r="T19" s="5" t="s">
        <v>34</v>
      </c>
      <c r="U19" s="5" t="s">
        <v>57</v>
      </c>
    </row>
    <row r="20" spans="1:21">
      <c r="A20" s="5">
        <v>9834</v>
      </c>
      <c r="B20" s="5" t="s">
        <v>117</v>
      </c>
      <c r="C20" s="5" t="s">
        <v>37</v>
      </c>
      <c r="D20" s="5">
        <v>41</v>
      </c>
      <c r="E20" s="5" t="s">
        <v>59</v>
      </c>
      <c r="F20" s="5" t="s">
        <v>39</v>
      </c>
      <c r="G20" s="5" t="s">
        <v>40</v>
      </c>
      <c r="H20" s="5" t="s">
        <v>81</v>
      </c>
      <c r="I20" s="5" t="s">
        <v>118</v>
      </c>
      <c r="J20" s="5" t="s">
        <v>119</v>
      </c>
      <c r="K20" s="5" t="s">
        <v>29</v>
      </c>
      <c r="L20" s="5" t="s">
        <v>54</v>
      </c>
      <c r="M20" s="5">
        <v>32877</v>
      </c>
      <c r="N20" s="5" t="s">
        <v>31</v>
      </c>
      <c r="O20" s="5">
        <v>6432</v>
      </c>
      <c r="P20" s="5" t="s">
        <v>32</v>
      </c>
      <c r="Q20" s="5">
        <v>11</v>
      </c>
      <c r="R20" s="5">
        <v>1</v>
      </c>
      <c r="S20" s="5" t="s">
        <v>46</v>
      </c>
      <c r="T20" s="5" t="s">
        <v>34</v>
      </c>
      <c r="U20" s="5" t="s">
        <v>46</v>
      </c>
    </row>
    <row r="21" spans="1:21">
      <c r="A21" s="5">
        <v>5096</v>
      </c>
      <c r="B21" s="5" t="s">
        <v>120</v>
      </c>
      <c r="C21" s="5" t="s">
        <v>37</v>
      </c>
      <c r="D21" s="5">
        <v>36</v>
      </c>
      <c r="E21" s="5" t="s">
        <v>59</v>
      </c>
      <c r="F21" s="5" t="s">
        <v>39</v>
      </c>
      <c r="G21" s="5" t="s">
        <v>121</v>
      </c>
      <c r="H21" s="5" t="s">
        <v>60</v>
      </c>
      <c r="I21" s="5" t="s">
        <v>122</v>
      </c>
      <c r="J21" s="5" t="s">
        <v>123</v>
      </c>
      <c r="K21" s="5" t="s">
        <v>29</v>
      </c>
      <c r="L21" s="5" t="s">
        <v>44</v>
      </c>
      <c r="M21" s="5">
        <v>46811</v>
      </c>
      <c r="N21" s="5" t="s">
        <v>55</v>
      </c>
      <c r="O21" s="5">
        <v>1567</v>
      </c>
      <c r="P21" s="5" t="s">
        <v>46</v>
      </c>
      <c r="Q21" s="5">
        <v>7</v>
      </c>
      <c r="R21" s="5">
        <v>3</v>
      </c>
      <c r="S21" s="5" t="s">
        <v>47</v>
      </c>
      <c r="T21" s="5" t="s">
        <v>34</v>
      </c>
      <c r="U21" s="5" t="s">
        <v>57</v>
      </c>
    </row>
    <row r="22" spans="1:21">
      <c r="A22" s="5">
        <v>2263</v>
      </c>
      <c r="B22" s="5" t="s">
        <v>124</v>
      </c>
      <c r="C22" s="5" t="s">
        <v>37</v>
      </c>
      <c r="D22" s="5">
        <v>31</v>
      </c>
      <c r="E22" s="5" t="s">
        <v>38</v>
      </c>
      <c r="F22" s="5" t="s">
        <v>80</v>
      </c>
      <c r="G22" s="5" t="s">
        <v>50</v>
      </c>
      <c r="H22" s="5" t="s">
        <v>41</v>
      </c>
      <c r="I22" s="5" t="s">
        <v>125</v>
      </c>
      <c r="J22" s="5" t="s">
        <v>126</v>
      </c>
      <c r="K22" s="5" t="s">
        <v>63</v>
      </c>
      <c r="L22" s="5" t="s">
        <v>44</v>
      </c>
      <c r="M22" s="5">
        <v>87538</v>
      </c>
      <c r="N22" s="5" t="s">
        <v>31</v>
      </c>
      <c r="O22" s="5">
        <v>3588</v>
      </c>
      <c r="P22" s="5" t="s">
        <v>65</v>
      </c>
      <c r="Q22" s="5">
        <v>11</v>
      </c>
      <c r="R22" s="5">
        <v>5</v>
      </c>
      <c r="S22" s="5" t="s">
        <v>47</v>
      </c>
      <c r="T22" s="5" t="s">
        <v>66</v>
      </c>
      <c r="U22" s="5" t="s">
        <v>46</v>
      </c>
    </row>
    <row r="23" spans="1:21">
      <c r="A23" s="5">
        <v>6505</v>
      </c>
      <c r="B23" s="5" t="s">
        <v>127</v>
      </c>
      <c r="C23" s="5" t="s">
        <v>22</v>
      </c>
      <c r="D23" s="5">
        <v>28</v>
      </c>
      <c r="E23" s="5" t="s">
        <v>38</v>
      </c>
      <c r="F23" s="5" t="s">
        <v>24</v>
      </c>
      <c r="G23" s="5" t="s">
        <v>40</v>
      </c>
      <c r="H23" s="5" t="s">
        <v>81</v>
      </c>
      <c r="I23" s="5" t="s">
        <v>128</v>
      </c>
      <c r="J23" s="5" t="s">
        <v>129</v>
      </c>
      <c r="K23" s="5" t="s">
        <v>29</v>
      </c>
      <c r="L23" s="5" t="s">
        <v>44</v>
      </c>
      <c r="M23" s="5">
        <v>73002</v>
      </c>
      <c r="N23" s="5" t="s">
        <v>31</v>
      </c>
      <c r="O23" s="5">
        <v>6296</v>
      </c>
      <c r="P23" s="5" t="s">
        <v>32</v>
      </c>
      <c r="Q23" s="5">
        <v>2</v>
      </c>
      <c r="R23" s="5">
        <v>5</v>
      </c>
      <c r="S23" s="5" t="s">
        <v>47</v>
      </c>
      <c r="T23" s="5" t="s">
        <v>56</v>
      </c>
      <c r="U23" s="5" t="s">
        <v>35</v>
      </c>
    </row>
    <row r="24" spans="1:21">
      <c r="A24" s="5">
        <v>8626</v>
      </c>
      <c r="B24" s="5" t="s">
        <v>130</v>
      </c>
      <c r="C24" s="5" t="s">
        <v>37</v>
      </c>
      <c r="D24" s="5">
        <v>37</v>
      </c>
      <c r="E24" s="5" t="s">
        <v>59</v>
      </c>
      <c r="F24" s="5" t="s">
        <v>80</v>
      </c>
      <c r="G24" s="5" t="s">
        <v>40</v>
      </c>
      <c r="H24" s="5" t="s">
        <v>60</v>
      </c>
      <c r="I24" s="5" t="s">
        <v>131</v>
      </c>
      <c r="J24" s="5" t="s">
        <v>132</v>
      </c>
      <c r="K24" s="5" t="s">
        <v>111</v>
      </c>
      <c r="L24" s="5" t="s">
        <v>54</v>
      </c>
      <c r="M24" s="5">
        <v>41653</v>
      </c>
      <c r="N24" s="5" t="s">
        <v>55</v>
      </c>
      <c r="O24" s="5">
        <v>9236</v>
      </c>
      <c r="P24" s="5" t="s">
        <v>46</v>
      </c>
      <c r="Q24" s="5">
        <v>13</v>
      </c>
      <c r="R24" s="5">
        <v>1</v>
      </c>
      <c r="S24" s="5" t="s">
        <v>47</v>
      </c>
      <c r="T24" s="5" t="s">
        <v>34</v>
      </c>
      <c r="U24" s="5" t="s">
        <v>46</v>
      </c>
    </row>
    <row r="25" spans="1:21">
      <c r="A25" s="5">
        <v>5979</v>
      </c>
      <c r="B25" s="5" t="s">
        <v>133</v>
      </c>
      <c r="C25" s="5" t="s">
        <v>22</v>
      </c>
      <c r="D25" s="5">
        <v>31</v>
      </c>
      <c r="E25" s="5" t="s">
        <v>38</v>
      </c>
      <c r="F25" s="5" t="s">
        <v>24</v>
      </c>
      <c r="G25" s="5" t="s">
        <v>25</v>
      </c>
      <c r="H25" s="5" t="s">
        <v>51</v>
      </c>
      <c r="I25" s="5" t="s">
        <v>134</v>
      </c>
      <c r="J25" s="5" t="s">
        <v>135</v>
      </c>
      <c r="K25" s="5" t="s">
        <v>63</v>
      </c>
      <c r="L25" s="5" t="s">
        <v>44</v>
      </c>
      <c r="M25" s="5">
        <v>67582</v>
      </c>
      <c r="N25" s="5" t="s">
        <v>64</v>
      </c>
      <c r="O25" s="5">
        <v>1375</v>
      </c>
      <c r="P25" s="5" t="s">
        <v>32</v>
      </c>
      <c r="Q25" s="5">
        <v>20</v>
      </c>
      <c r="R25" s="5">
        <v>3</v>
      </c>
      <c r="S25" s="5" t="s">
        <v>47</v>
      </c>
      <c r="T25" s="5" t="s">
        <v>56</v>
      </c>
      <c r="U25" s="5" t="s">
        <v>46</v>
      </c>
    </row>
    <row r="26" spans="1:21">
      <c r="A26" s="5">
        <v>3104</v>
      </c>
      <c r="B26" s="5" t="s">
        <v>136</v>
      </c>
      <c r="C26" s="5" t="s">
        <v>22</v>
      </c>
      <c r="D26" s="5">
        <v>23</v>
      </c>
      <c r="E26" s="5" t="s">
        <v>23</v>
      </c>
      <c r="F26" s="5" t="s">
        <v>80</v>
      </c>
      <c r="G26" s="5" t="s">
        <v>40</v>
      </c>
      <c r="H26" s="5" t="s">
        <v>41</v>
      </c>
      <c r="I26" s="5" t="s">
        <v>137</v>
      </c>
      <c r="J26" s="5" t="s">
        <v>138</v>
      </c>
      <c r="K26" s="5" t="s">
        <v>111</v>
      </c>
      <c r="L26" s="5" t="s">
        <v>44</v>
      </c>
      <c r="M26" s="5">
        <v>37351</v>
      </c>
      <c r="N26" s="5" t="s">
        <v>55</v>
      </c>
      <c r="O26" s="5">
        <v>7858</v>
      </c>
      <c r="P26" s="5" t="s">
        <v>65</v>
      </c>
      <c r="Q26" s="5">
        <v>18</v>
      </c>
      <c r="R26" s="5">
        <v>2</v>
      </c>
      <c r="S26" s="5" t="s">
        <v>33</v>
      </c>
      <c r="T26" s="5" t="s">
        <v>56</v>
      </c>
      <c r="U26" s="5" t="s">
        <v>57</v>
      </c>
    </row>
    <row r="27" spans="1:21">
      <c r="A27" s="5">
        <v>8967</v>
      </c>
      <c r="B27" s="5" t="s">
        <v>139</v>
      </c>
      <c r="C27" s="5" t="s">
        <v>22</v>
      </c>
      <c r="D27" s="5">
        <v>48</v>
      </c>
      <c r="E27" s="5" t="s">
        <v>98</v>
      </c>
      <c r="F27" s="5" t="s">
        <v>102</v>
      </c>
      <c r="G27" s="5" t="s">
        <v>50</v>
      </c>
      <c r="H27" s="5" t="s">
        <v>26</v>
      </c>
      <c r="I27" s="5" t="s">
        <v>140</v>
      </c>
      <c r="J27" s="5" t="s">
        <v>141</v>
      </c>
      <c r="K27" s="5" t="s">
        <v>29</v>
      </c>
      <c r="L27" s="5" t="s">
        <v>44</v>
      </c>
      <c r="M27" s="5">
        <v>36721</v>
      </c>
      <c r="N27" s="5" t="s">
        <v>45</v>
      </c>
      <c r="O27" s="5">
        <v>8820</v>
      </c>
      <c r="P27" s="5" t="s">
        <v>65</v>
      </c>
      <c r="Q27" s="5">
        <v>0</v>
      </c>
      <c r="R27" s="5">
        <v>2</v>
      </c>
      <c r="S27" s="5" t="s">
        <v>47</v>
      </c>
      <c r="T27" s="5" t="s">
        <v>56</v>
      </c>
      <c r="U27" s="5" t="s">
        <v>35</v>
      </c>
    </row>
    <row r="28" spans="1:21">
      <c r="A28" s="5">
        <v>5087</v>
      </c>
      <c r="B28" s="5" t="s">
        <v>142</v>
      </c>
      <c r="C28" s="5" t="s">
        <v>37</v>
      </c>
      <c r="D28" s="5">
        <v>28</v>
      </c>
      <c r="E28" s="5" t="s">
        <v>38</v>
      </c>
      <c r="F28" s="5" t="s">
        <v>49</v>
      </c>
      <c r="G28" s="5" t="s">
        <v>121</v>
      </c>
      <c r="H28" s="5" t="s">
        <v>26</v>
      </c>
      <c r="I28" s="5" t="s">
        <v>143</v>
      </c>
      <c r="J28" s="5" t="s">
        <v>144</v>
      </c>
      <c r="K28" s="5" t="s">
        <v>63</v>
      </c>
      <c r="L28" s="5" t="s">
        <v>54</v>
      </c>
      <c r="M28" s="5">
        <v>46326</v>
      </c>
      <c r="N28" s="5" t="s">
        <v>45</v>
      </c>
      <c r="O28" s="5">
        <v>9189</v>
      </c>
      <c r="P28" s="5" t="s">
        <v>65</v>
      </c>
      <c r="Q28" s="5">
        <v>8</v>
      </c>
      <c r="R28" s="5">
        <v>4</v>
      </c>
      <c r="S28" s="5" t="s">
        <v>33</v>
      </c>
      <c r="T28" s="5" t="s">
        <v>75</v>
      </c>
      <c r="U28" s="5" t="s">
        <v>57</v>
      </c>
    </row>
    <row r="29" spans="1:21">
      <c r="A29" s="5">
        <v>3358</v>
      </c>
      <c r="B29" s="5" t="s">
        <v>145</v>
      </c>
      <c r="C29" s="5" t="s">
        <v>37</v>
      </c>
      <c r="D29" s="5">
        <v>30</v>
      </c>
      <c r="E29" s="5" t="s">
        <v>38</v>
      </c>
      <c r="F29" s="5" t="s">
        <v>39</v>
      </c>
      <c r="G29" s="5" t="s">
        <v>72</v>
      </c>
      <c r="H29" s="5" t="s">
        <v>41</v>
      </c>
      <c r="I29" s="5" t="s">
        <v>146</v>
      </c>
      <c r="J29" s="5" t="s">
        <v>147</v>
      </c>
      <c r="K29" s="5" t="s">
        <v>29</v>
      </c>
      <c r="L29" s="5" t="s">
        <v>30</v>
      </c>
      <c r="M29" s="5">
        <v>59007</v>
      </c>
      <c r="N29" s="5" t="s">
        <v>31</v>
      </c>
      <c r="O29" s="5">
        <v>3380</v>
      </c>
      <c r="P29" s="5" t="s">
        <v>32</v>
      </c>
      <c r="Q29" s="5">
        <v>17</v>
      </c>
      <c r="R29" s="5">
        <v>3</v>
      </c>
      <c r="S29" s="5" t="s">
        <v>46</v>
      </c>
      <c r="T29" s="5" t="s">
        <v>96</v>
      </c>
      <c r="U29" s="5" t="s">
        <v>35</v>
      </c>
    </row>
    <row r="30" spans="1:21">
      <c r="A30" s="5">
        <v>8256</v>
      </c>
      <c r="B30" s="5" t="s">
        <v>148</v>
      </c>
      <c r="C30" s="5" t="s">
        <v>37</v>
      </c>
      <c r="D30" s="5">
        <v>46</v>
      </c>
      <c r="E30" s="5" t="s">
        <v>98</v>
      </c>
      <c r="F30" s="5" t="s">
        <v>80</v>
      </c>
      <c r="G30" s="5" t="s">
        <v>25</v>
      </c>
      <c r="H30" s="5" t="s">
        <v>60</v>
      </c>
      <c r="I30" s="5" t="s">
        <v>149</v>
      </c>
      <c r="J30" s="5" t="s">
        <v>150</v>
      </c>
      <c r="K30" s="5" t="s">
        <v>29</v>
      </c>
      <c r="L30" s="5" t="s">
        <v>44</v>
      </c>
      <c r="M30" s="5">
        <v>52020</v>
      </c>
      <c r="N30" s="5" t="s">
        <v>45</v>
      </c>
      <c r="O30" s="5">
        <v>9585</v>
      </c>
      <c r="P30" s="5" t="s">
        <v>65</v>
      </c>
      <c r="Q30" s="5">
        <v>0</v>
      </c>
      <c r="R30" s="5">
        <v>4</v>
      </c>
      <c r="S30" s="5" t="s">
        <v>47</v>
      </c>
      <c r="T30" s="5" t="s">
        <v>96</v>
      </c>
      <c r="U30" s="5" t="s">
        <v>46</v>
      </c>
    </row>
    <row r="31" spans="1:21">
      <c r="A31" s="5">
        <v>5763</v>
      </c>
      <c r="B31" s="5" t="s">
        <v>151</v>
      </c>
      <c r="C31" s="5" t="s">
        <v>37</v>
      </c>
      <c r="D31" s="5">
        <v>44</v>
      </c>
      <c r="E31" s="5" t="s">
        <v>59</v>
      </c>
      <c r="F31" s="5" t="s">
        <v>39</v>
      </c>
      <c r="G31" s="5" t="s">
        <v>50</v>
      </c>
      <c r="H31" s="5" t="s">
        <v>41</v>
      </c>
      <c r="I31" s="5" t="s">
        <v>152</v>
      </c>
      <c r="J31" s="5" t="s">
        <v>153</v>
      </c>
      <c r="K31" s="5" t="s">
        <v>111</v>
      </c>
      <c r="L31" s="5" t="s">
        <v>44</v>
      </c>
      <c r="M31" s="5">
        <v>98961</v>
      </c>
      <c r="N31" s="5" t="s">
        <v>55</v>
      </c>
      <c r="O31" s="5">
        <v>2688</v>
      </c>
      <c r="P31" s="5" t="s">
        <v>32</v>
      </c>
      <c r="Q31" s="5">
        <v>2</v>
      </c>
      <c r="R31" s="5">
        <v>5</v>
      </c>
      <c r="S31" s="5" t="s">
        <v>47</v>
      </c>
      <c r="T31" s="5" t="s">
        <v>96</v>
      </c>
      <c r="U31" s="5" t="s">
        <v>35</v>
      </c>
    </row>
    <row r="32" spans="1:21">
      <c r="A32" s="5">
        <v>6838</v>
      </c>
      <c r="B32" s="5" t="s">
        <v>154</v>
      </c>
      <c r="C32" s="5" t="s">
        <v>37</v>
      </c>
      <c r="D32" s="5">
        <v>45</v>
      </c>
      <c r="E32" s="5" t="s">
        <v>59</v>
      </c>
      <c r="F32" s="5" t="s">
        <v>49</v>
      </c>
      <c r="G32" s="5" t="s">
        <v>72</v>
      </c>
      <c r="H32" s="5" t="s">
        <v>51</v>
      </c>
      <c r="I32" s="5" t="s">
        <v>155</v>
      </c>
      <c r="J32" s="5" t="s">
        <v>156</v>
      </c>
      <c r="K32" s="5" t="s">
        <v>111</v>
      </c>
      <c r="L32" s="5" t="s">
        <v>44</v>
      </c>
      <c r="M32" s="5">
        <v>81943</v>
      </c>
      <c r="N32" s="5" t="s">
        <v>31</v>
      </c>
      <c r="O32" s="5">
        <v>2255</v>
      </c>
      <c r="P32" s="5" t="s">
        <v>32</v>
      </c>
      <c r="Q32" s="5">
        <v>18</v>
      </c>
      <c r="R32" s="5">
        <v>2</v>
      </c>
      <c r="S32" s="5" t="s">
        <v>46</v>
      </c>
      <c r="T32" s="5" t="s">
        <v>66</v>
      </c>
      <c r="U32" s="5" t="s">
        <v>35</v>
      </c>
    </row>
    <row r="33" spans="1:21">
      <c r="A33" s="5">
        <v>9544</v>
      </c>
      <c r="B33" s="5" t="s">
        <v>157</v>
      </c>
      <c r="C33" s="5" t="s">
        <v>37</v>
      </c>
      <c r="D33" s="5">
        <v>52</v>
      </c>
      <c r="E33" s="5" t="s">
        <v>98</v>
      </c>
      <c r="F33" s="5" t="s">
        <v>102</v>
      </c>
      <c r="G33" s="5" t="s">
        <v>50</v>
      </c>
      <c r="H33" s="5" t="s">
        <v>41</v>
      </c>
      <c r="I33" s="5" t="s">
        <v>158</v>
      </c>
      <c r="J33" s="5" t="s">
        <v>159</v>
      </c>
      <c r="K33" s="5" t="s">
        <v>111</v>
      </c>
      <c r="L33" s="5" t="s">
        <v>44</v>
      </c>
      <c r="M33" s="5">
        <v>47627</v>
      </c>
      <c r="N33" s="5" t="s">
        <v>31</v>
      </c>
      <c r="O33" s="5">
        <v>1221</v>
      </c>
      <c r="P33" s="5" t="s">
        <v>46</v>
      </c>
      <c r="Q33" s="5">
        <v>4</v>
      </c>
      <c r="R33" s="5">
        <v>3</v>
      </c>
      <c r="S33" s="5" t="s">
        <v>46</v>
      </c>
      <c r="T33" s="5" t="s">
        <v>56</v>
      </c>
      <c r="U33" s="5" t="s">
        <v>46</v>
      </c>
    </row>
    <row r="34" spans="1:21">
      <c r="A34" s="5">
        <v>8012</v>
      </c>
      <c r="B34" s="5" t="s">
        <v>160</v>
      </c>
      <c r="C34" s="5" t="s">
        <v>22</v>
      </c>
      <c r="D34" s="5">
        <v>52</v>
      </c>
      <c r="E34" s="5" t="s">
        <v>98</v>
      </c>
      <c r="F34" s="5" t="s">
        <v>24</v>
      </c>
      <c r="G34" s="5" t="s">
        <v>25</v>
      </c>
      <c r="H34" s="5" t="s">
        <v>81</v>
      </c>
      <c r="I34" s="5" t="s">
        <v>161</v>
      </c>
      <c r="J34" s="5" t="s">
        <v>162</v>
      </c>
      <c r="K34" s="5" t="s">
        <v>111</v>
      </c>
      <c r="L34" s="5" t="s">
        <v>44</v>
      </c>
      <c r="M34" s="5">
        <v>56162</v>
      </c>
      <c r="N34" s="5" t="s">
        <v>55</v>
      </c>
      <c r="O34" s="5">
        <v>6560</v>
      </c>
      <c r="P34" s="5" t="s">
        <v>65</v>
      </c>
      <c r="Q34" s="5">
        <v>9</v>
      </c>
      <c r="R34" s="5">
        <v>4</v>
      </c>
      <c r="S34" s="5" t="s">
        <v>47</v>
      </c>
      <c r="T34" s="5" t="s">
        <v>75</v>
      </c>
      <c r="U34" s="5" t="s">
        <v>46</v>
      </c>
    </row>
    <row r="35" spans="1:21">
      <c r="A35" s="5">
        <v>9374</v>
      </c>
      <c r="B35" s="5" t="s">
        <v>163</v>
      </c>
      <c r="C35" s="5" t="s">
        <v>22</v>
      </c>
      <c r="D35" s="5">
        <v>42</v>
      </c>
      <c r="E35" s="5" t="s">
        <v>59</v>
      </c>
      <c r="F35" s="5" t="s">
        <v>39</v>
      </c>
      <c r="G35" s="5" t="s">
        <v>50</v>
      </c>
      <c r="H35" s="5" t="s">
        <v>51</v>
      </c>
      <c r="I35" s="5" t="s">
        <v>164</v>
      </c>
      <c r="J35" s="5" t="s">
        <v>165</v>
      </c>
      <c r="K35" s="5" t="s">
        <v>63</v>
      </c>
      <c r="L35" s="5" t="s">
        <v>54</v>
      </c>
      <c r="M35" s="5">
        <v>95734</v>
      </c>
      <c r="N35" s="5" t="s">
        <v>31</v>
      </c>
      <c r="O35" s="5">
        <v>4854</v>
      </c>
      <c r="P35" s="5" t="s">
        <v>32</v>
      </c>
      <c r="Q35" s="5">
        <v>13</v>
      </c>
      <c r="R35" s="5">
        <v>2</v>
      </c>
      <c r="S35" s="5" t="s">
        <v>33</v>
      </c>
      <c r="T35" s="5" t="s">
        <v>34</v>
      </c>
      <c r="U35" s="5" t="s">
        <v>35</v>
      </c>
    </row>
    <row r="36" spans="1:21">
      <c r="A36" s="5">
        <v>3487</v>
      </c>
      <c r="B36" s="5" t="s">
        <v>166</v>
      </c>
      <c r="C36" s="5" t="s">
        <v>37</v>
      </c>
      <c r="D36" s="5">
        <v>58</v>
      </c>
      <c r="E36" s="5" t="s">
        <v>68</v>
      </c>
      <c r="F36" s="5" t="s">
        <v>39</v>
      </c>
      <c r="G36" s="5" t="s">
        <v>40</v>
      </c>
      <c r="H36" s="5" t="s">
        <v>60</v>
      </c>
      <c r="I36" s="5" t="s">
        <v>167</v>
      </c>
      <c r="J36" s="5" t="s">
        <v>168</v>
      </c>
      <c r="K36" s="5" t="s">
        <v>63</v>
      </c>
      <c r="L36" s="5" t="s">
        <v>54</v>
      </c>
      <c r="M36" s="5">
        <v>74789</v>
      </c>
      <c r="N36" s="5" t="s">
        <v>31</v>
      </c>
      <c r="O36" s="5">
        <v>8101</v>
      </c>
      <c r="P36" s="5" t="s">
        <v>65</v>
      </c>
      <c r="Q36" s="5">
        <v>14</v>
      </c>
      <c r="R36" s="5">
        <v>5</v>
      </c>
      <c r="S36" s="5" t="s">
        <v>47</v>
      </c>
      <c r="T36" s="5" t="s">
        <v>66</v>
      </c>
      <c r="U36" s="5" t="s">
        <v>46</v>
      </c>
    </row>
    <row r="37" spans="1:21">
      <c r="A37" s="5">
        <v>8445</v>
      </c>
      <c r="B37" s="5" t="s">
        <v>169</v>
      </c>
      <c r="C37" s="5" t="s">
        <v>22</v>
      </c>
      <c r="D37" s="5">
        <v>24</v>
      </c>
      <c r="E37" s="5" t="s">
        <v>23</v>
      </c>
      <c r="F37" s="5" t="s">
        <v>102</v>
      </c>
      <c r="G37" s="5" t="s">
        <v>25</v>
      </c>
      <c r="H37" s="5" t="s">
        <v>60</v>
      </c>
      <c r="I37" s="5" t="s">
        <v>170</v>
      </c>
      <c r="J37" s="5" t="s">
        <v>171</v>
      </c>
      <c r="K37" s="5" t="s">
        <v>29</v>
      </c>
      <c r="L37" s="5" t="s">
        <v>54</v>
      </c>
      <c r="M37" s="5">
        <v>30137</v>
      </c>
      <c r="N37" s="5" t="s">
        <v>45</v>
      </c>
      <c r="O37" s="5">
        <v>4031</v>
      </c>
      <c r="P37" s="5" t="s">
        <v>46</v>
      </c>
      <c r="Q37" s="5">
        <v>5</v>
      </c>
      <c r="R37" s="5">
        <v>3</v>
      </c>
      <c r="S37" s="5" t="s">
        <v>46</v>
      </c>
      <c r="T37" s="5" t="s">
        <v>56</v>
      </c>
      <c r="U37" s="5" t="s">
        <v>35</v>
      </c>
    </row>
    <row r="38" spans="1:21">
      <c r="A38" s="5">
        <v>1550</v>
      </c>
      <c r="B38" s="5" t="s">
        <v>172</v>
      </c>
      <c r="C38" s="5" t="s">
        <v>37</v>
      </c>
      <c r="D38" s="5">
        <v>21</v>
      </c>
      <c r="E38" s="5" t="s">
        <v>23</v>
      </c>
      <c r="F38" s="5" t="s">
        <v>39</v>
      </c>
      <c r="G38" s="5" t="s">
        <v>25</v>
      </c>
      <c r="H38" s="5" t="s">
        <v>26</v>
      </c>
      <c r="I38" s="5" t="s">
        <v>173</v>
      </c>
      <c r="J38" s="5" t="s">
        <v>174</v>
      </c>
      <c r="K38" s="5" t="s">
        <v>29</v>
      </c>
      <c r="L38" s="5" t="s">
        <v>54</v>
      </c>
      <c r="M38" s="5">
        <v>95510</v>
      </c>
      <c r="N38" s="5" t="s">
        <v>31</v>
      </c>
      <c r="O38" s="5">
        <v>6811</v>
      </c>
      <c r="P38" s="5" t="s">
        <v>32</v>
      </c>
      <c r="Q38" s="5">
        <v>18</v>
      </c>
      <c r="R38" s="5">
        <v>4</v>
      </c>
      <c r="S38" s="5" t="s">
        <v>47</v>
      </c>
      <c r="T38" s="5" t="s">
        <v>96</v>
      </c>
      <c r="U38" s="5" t="s">
        <v>35</v>
      </c>
    </row>
    <row r="39" spans="1:21">
      <c r="A39" s="5">
        <v>9968</v>
      </c>
      <c r="B39" s="5" t="s">
        <v>175</v>
      </c>
      <c r="C39" s="5" t="s">
        <v>37</v>
      </c>
      <c r="D39" s="5">
        <v>58</v>
      </c>
      <c r="E39" s="5" t="s">
        <v>68</v>
      </c>
      <c r="F39" s="5" t="s">
        <v>39</v>
      </c>
      <c r="G39" s="5" t="s">
        <v>72</v>
      </c>
      <c r="H39" s="5" t="s">
        <v>26</v>
      </c>
      <c r="I39" s="5" t="s">
        <v>176</v>
      </c>
      <c r="J39" s="5" t="s">
        <v>177</v>
      </c>
      <c r="K39" s="5" t="s">
        <v>63</v>
      </c>
      <c r="L39" s="5" t="s">
        <v>30</v>
      </c>
      <c r="M39" s="5">
        <v>80325</v>
      </c>
      <c r="N39" s="5" t="s">
        <v>45</v>
      </c>
      <c r="O39" s="5">
        <v>6230</v>
      </c>
      <c r="P39" s="5" t="s">
        <v>32</v>
      </c>
      <c r="Q39" s="5">
        <v>5</v>
      </c>
      <c r="R39" s="5">
        <v>4</v>
      </c>
      <c r="S39" s="5" t="s">
        <v>46</v>
      </c>
      <c r="T39" s="5" t="s">
        <v>66</v>
      </c>
      <c r="U39" s="5" t="s">
        <v>57</v>
      </c>
    </row>
    <row r="40" spans="1:21">
      <c r="A40" s="5">
        <v>8029</v>
      </c>
      <c r="B40" s="5" t="s">
        <v>178</v>
      </c>
      <c r="C40" s="5" t="s">
        <v>22</v>
      </c>
      <c r="D40" s="5">
        <v>57</v>
      </c>
      <c r="E40" s="5" t="s">
        <v>68</v>
      </c>
      <c r="F40" s="5" t="s">
        <v>80</v>
      </c>
      <c r="G40" s="5" t="s">
        <v>121</v>
      </c>
      <c r="H40" s="5" t="s">
        <v>81</v>
      </c>
      <c r="I40" s="5" t="s">
        <v>179</v>
      </c>
      <c r="J40" s="5" t="s">
        <v>180</v>
      </c>
      <c r="K40" s="5" t="s">
        <v>111</v>
      </c>
      <c r="L40" s="5" t="s">
        <v>44</v>
      </c>
      <c r="M40" s="5">
        <v>34109</v>
      </c>
      <c r="N40" s="5" t="s">
        <v>45</v>
      </c>
      <c r="O40" s="5">
        <v>9232</v>
      </c>
      <c r="P40" s="5" t="s">
        <v>32</v>
      </c>
      <c r="Q40" s="5">
        <v>13</v>
      </c>
      <c r="R40" s="5">
        <v>3</v>
      </c>
      <c r="S40" s="5" t="s">
        <v>33</v>
      </c>
      <c r="T40" s="5" t="s">
        <v>34</v>
      </c>
      <c r="U40" s="5" t="s">
        <v>35</v>
      </c>
    </row>
    <row r="41" spans="1:21">
      <c r="A41" s="5">
        <v>8847</v>
      </c>
      <c r="B41" s="5" t="s">
        <v>181</v>
      </c>
      <c r="C41" s="5" t="s">
        <v>37</v>
      </c>
      <c r="D41" s="5">
        <v>41</v>
      </c>
      <c r="E41" s="5" t="s">
        <v>59</v>
      </c>
      <c r="F41" s="5" t="s">
        <v>80</v>
      </c>
      <c r="G41" s="5" t="s">
        <v>72</v>
      </c>
      <c r="H41" s="5" t="s">
        <v>26</v>
      </c>
      <c r="I41" s="5" t="s">
        <v>182</v>
      </c>
      <c r="J41" s="5" t="s">
        <v>183</v>
      </c>
      <c r="K41" s="5" t="s">
        <v>111</v>
      </c>
      <c r="L41" s="5" t="s">
        <v>54</v>
      </c>
      <c r="M41" s="5">
        <v>73330</v>
      </c>
      <c r="N41" s="5" t="s">
        <v>31</v>
      </c>
      <c r="O41" s="5">
        <v>2276</v>
      </c>
      <c r="P41" s="5" t="s">
        <v>65</v>
      </c>
      <c r="Q41" s="5">
        <v>5</v>
      </c>
      <c r="R41" s="5">
        <v>1</v>
      </c>
      <c r="S41" s="5" t="s">
        <v>46</v>
      </c>
      <c r="T41" s="5" t="s">
        <v>56</v>
      </c>
      <c r="U41" s="5" t="s">
        <v>57</v>
      </c>
    </row>
    <row r="42" spans="1:21">
      <c r="A42" s="5">
        <v>1955</v>
      </c>
      <c r="B42" s="5" t="s">
        <v>184</v>
      </c>
      <c r="C42" s="5" t="s">
        <v>22</v>
      </c>
      <c r="D42" s="5">
        <v>58</v>
      </c>
      <c r="E42" s="5" t="s">
        <v>68</v>
      </c>
      <c r="F42" s="5" t="s">
        <v>49</v>
      </c>
      <c r="G42" s="5" t="s">
        <v>50</v>
      </c>
      <c r="H42" s="5" t="s">
        <v>41</v>
      </c>
      <c r="I42" s="5" t="s">
        <v>185</v>
      </c>
      <c r="J42" s="5" t="s">
        <v>186</v>
      </c>
      <c r="K42" s="5" t="s">
        <v>63</v>
      </c>
      <c r="L42" s="5" t="s">
        <v>54</v>
      </c>
      <c r="M42" s="5">
        <v>46567</v>
      </c>
      <c r="N42" s="5" t="s">
        <v>64</v>
      </c>
      <c r="O42" s="5">
        <v>2825</v>
      </c>
      <c r="P42" s="5" t="s">
        <v>32</v>
      </c>
      <c r="Q42" s="5">
        <v>15</v>
      </c>
      <c r="R42" s="5">
        <v>3</v>
      </c>
      <c r="S42" s="5" t="s">
        <v>46</v>
      </c>
      <c r="T42" s="5" t="s">
        <v>96</v>
      </c>
      <c r="U42" s="5" t="s">
        <v>57</v>
      </c>
    </row>
    <row r="43" spans="1:21">
      <c r="A43" s="5">
        <v>4522</v>
      </c>
      <c r="B43" s="5" t="s">
        <v>187</v>
      </c>
      <c r="C43" s="5" t="s">
        <v>22</v>
      </c>
      <c r="D43" s="5">
        <v>36</v>
      </c>
      <c r="E43" s="5" t="s">
        <v>59</v>
      </c>
      <c r="F43" s="5" t="s">
        <v>24</v>
      </c>
      <c r="G43" s="5" t="s">
        <v>121</v>
      </c>
      <c r="H43" s="5" t="s">
        <v>26</v>
      </c>
      <c r="I43" s="5" t="s">
        <v>188</v>
      </c>
      <c r="J43" s="5" t="s">
        <v>189</v>
      </c>
      <c r="K43" s="5" t="s">
        <v>63</v>
      </c>
      <c r="L43" s="5" t="s">
        <v>44</v>
      </c>
      <c r="M43" s="5">
        <v>39795</v>
      </c>
      <c r="N43" s="5" t="s">
        <v>64</v>
      </c>
      <c r="O43" s="5">
        <v>1670</v>
      </c>
      <c r="P43" s="5" t="s">
        <v>46</v>
      </c>
      <c r="Q43" s="5">
        <v>0</v>
      </c>
      <c r="R43" s="5">
        <v>2</v>
      </c>
      <c r="S43" s="5" t="s">
        <v>47</v>
      </c>
      <c r="T43" s="5" t="s">
        <v>75</v>
      </c>
      <c r="U43" s="5" t="s">
        <v>46</v>
      </c>
    </row>
    <row r="44" spans="1:21">
      <c r="A44" s="5">
        <v>3078</v>
      </c>
      <c r="B44" s="5" t="s">
        <v>190</v>
      </c>
      <c r="C44" s="5" t="s">
        <v>22</v>
      </c>
      <c r="D44" s="5">
        <v>21</v>
      </c>
      <c r="E44" s="5" t="s">
        <v>23</v>
      </c>
      <c r="F44" s="5" t="s">
        <v>24</v>
      </c>
      <c r="G44" s="5" t="s">
        <v>25</v>
      </c>
      <c r="H44" s="5" t="s">
        <v>81</v>
      </c>
      <c r="I44" s="5" t="s">
        <v>191</v>
      </c>
      <c r="J44" s="5" t="s">
        <v>192</v>
      </c>
      <c r="K44" s="5" t="s">
        <v>63</v>
      </c>
      <c r="L44" s="5" t="s">
        <v>54</v>
      </c>
      <c r="M44" s="5">
        <v>59506</v>
      </c>
      <c r="N44" s="5" t="s">
        <v>64</v>
      </c>
      <c r="O44" s="5">
        <v>4428</v>
      </c>
      <c r="P44" s="5" t="s">
        <v>65</v>
      </c>
      <c r="Q44" s="5">
        <v>0</v>
      </c>
      <c r="R44" s="5">
        <v>1</v>
      </c>
      <c r="S44" s="5" t="s">
        <v>46</v>
      </c>
      <c r="T44" s="5" t="s">
        <v>75</v>
      </c>
      <c r="U44" s="5" t="s">
        <v>35</v>
      </c>
    </row>
    <row r="45" spans="1:21">
      <c r="A45" s="5">
        <v>6357</v>
      </c>
      <c r="B45" s="5" t="s">
        <v>193</v>
      </c>
      <c r="C45" s="5" t="s">
        <v>22</v>
      </c>
      <c r="D45" s="5">
        <v>46</v>
      </c>
      <c r="E45" s="5" t="s">
        <v>98</v>
      </c>
      <c r="F45" s="5" t="s">
        <v>49</v>
      </c>
      <c r="G45" s="5" t="s">
        <v>40</v>
      </c>
      <c r="H45" s="5" t="s">
        <v>81</v>
      </c>
      <c r="I45" s="5" t="s">
        <v>194</v>
      </c>
      <c r="J45" s="5" t="s">
        <v>195</v>
      </c>
      <c r="K45" s="5" t="s">
        <v>63</v>
      </c>
      <c r="L45" s="5" t="s">
        <v>54</v>
      </c>
      <c r="M45" s="5">
        <v>49058</v>
      </c>
      <c r="N45" s="5" t="s">
        <v>45</v>
      </c>
      <c r="O45" s="5">
        <v>4396</v>
      </c>
      <c r="P45" s="5" t="s">
        <v>46</v>
      </c>
      <c r="Q45" s="5">
        <v>5</v>
      </c>
      <c r="R45" s="5">
        <v>1</v>
      </c>
      <c r="S45" s="5" t="s">
        <v>46</v>
      </c>
      <c r="T45" s="5" t="s">
        <v>75</v>
      </c>
      <c r="U45" s="5" t="s">
        <v>46</v>
      </c>
    </row>
    <row r="46" spans="1:21">
      <c r="A46" s="5">
        <v>7951</v>
      </c>
      <c r="B46" s="5" t="s">
        <v>196</v>
      </c>
      <c r="C46" s="5" t="s">
        <v>22</v>
      </c>
      <c r="D46" s="5">
        <v>36</v>
      </c>
      <c r="E46" s="5" t="s">
        <v>59</v>
      </c>
      <c r="F46" s="5" t="s">
        <v>80</v>
      </c>
      <c r="G46" s="5" t="s">
        <v>50</v>
      </c>
      <c r="H46" s="5" t="s">
        <v>81</v>
      </c>
      <c r="I46" s="5" t="s">
        <v>197</v>
      </c>
      <c r="J46" s="5" t="s">
        <v>198</v>
      </c>
      <c r="K46" s="5" t="s">
        <v>63</v>
      </c>
      <c r="L46" s="5" t="s">
        <v>30</v>
      </c>
      <c r="M46" s="5">
        <v>98612</v>
      </c>
      <c r="N46" s="5" t="s">
        <v>64</v>
      </c>
      <c r="O46" s="5">
        <v>1168</v>
      </c>
      <c r="P46" s="5" t="s">
        <v>46</v>
      </c>
      <c r="Q46" s="5">
        <v>9</v>
      </c>
      <c r="R46" s="5">
        <v>2</v>
      </c>
      <c r="S46" s="5" t="s">
        <v>47</v>
      </c>
      <c r="T46" s="5" t="s">
        <v>34</v>
      </c>
      <c r="U46" s="5" t="s">
        <v>35</v>
      </c>
    </row>
    <row r="47" spans="1:21">
      <c r="A47" s="5">
        <v>9228</v>
      </c>
      <c r="B47" s="5" t="s">
        <v>199</v>
      </c>
      <c r="C47" s="5" t="s">
        <v>37</v>
      </c>
      <c r="D47" s="5">
        <v>41</v>
      </c>
      <c r="E47" s="5" t="s">
        <v>59</v>
      </c>
      <c r="F47" s="5" t="s">
        <v>102</v>
      </c>
      <c r="G47" s="5" t="s">
        <v>72</v>
      </c>
      <c r="H47" s="5" t="s">
        <v>41</v>
      </c>
      <c r="I47" s="5" t="s">
        <v>200</v>
      </c>
      <c r="J47" s="5" t="s">
        <v>201</v>
      </c>
      <c r="K47" s="5" t="s">
        <v>111</v>
      </c>
      <c r="L47" s="5" t="s">
        <v>44</v>
      </c>
      <c r="M47" s="5">
        <v>38201</v>
      </c>
      <c r="N47" s="5" t="s">
        <v>64</v>
      </c>
      <c r="O47" s="5">
        <v>7111</v>
      </c>
      <c r="P47" s="5" t="s">
        <v>32</v>
      </c>
      <c r="Q47" s="5">
        <v>8</v>
      </c>
      <c r="R47" s="5">
        <v>4</v>
      </c>
      <c r="S47" s="5" t="s">
        <v>33</v>
      </c>
      <c r="T47" s="5" t="s">
        <v>75</v>
      </c>
      <c r="U47" s="5" t="s">
        <v>46</v>
      </c>
    </row>
    <row r="48" spans="1:21">
      <c r="A48" s="5">
        <v>8988</v>
      </c>
      <c r="B48" s="5" t="s">
        <v>202</v>
      </c>
      <c r="C48" s="5" t="s">
        <v>37</v>
      </c>
      <c r="D48" s="5">
        <v>25</v>
      </c>
      <c r="E48" s="5" t="s">
        <v>23</v>
      </c>
      <c r="F48" s="5" t="s">
        <v>24</v>
      </c>
      <c r="G48" s="5" t="s">
        <v>50</v>
      </c>
      <c r="H48" s="5" t="s">
        <v>51</v>
      </c>
      <c r="I48" s="5" t="s">
        <v>203</v>
      </c>
      <c r="J48" s="5" t="s">
        <v>204</v>
      </c>
      <c r="K48" s="5" t="s">
        <v>111</v>
      </c>
      <c r="L48" s="5" t="s">
        <v>44</v>
      </c>
      <c r="M48" s="5">
        <v>92919</v>
      </c>
      <c r="N48" s="5" t="s">
        <v>55</v>
      </c>
      <c r="O48" s="5">
        <v>9497</v>
      </c>
      <c r="P48" s="5" t="s">
        <v>32</v>
      </c>
      <c r="Q48" s="5">
        <v>7</v>
      </c>
      <c r="R48" s="5">
        <v>2</v>
      </c>
      <c r="S48" s="5" t="s">
        <v>46</v>
      </c>
      <c r="T48" s="5" t="s">
        <v>75</v>
      </c>
      <c r="U48" s="5" t="s">
        <v>57</v>
      </c>
    </row>
    <row r="49" spans="1:21">
      <c r="A49" s="5">
        <v>1952</v>
      </c>
      <c r="B49" s="5" t="s">
        <v>205</v>
      </c>
      <c r="C49" s="5" t="s">
        <v>22</v>
      </c>
      <c r="D49" s="5">
        <v>29</v>
      </c>
      <c r="E49" s="5" t="s">
        <v>38</v>
      </c>
      <c r="F49" s="5" t="s">
        <v>102</v>
      </c>
      <c r="G49" s="5" t="s">
        <v>25</v>
      </c>
      <c r="H49" s="5" t="s">
        <v>41</v>
      </c>
      <c r="I49" s="5" t="s">
        <v>206</v>
      </c>
      <c r="J49" s="5" t="s">
        <v>207</v>
      </c>
      <c r="K49" s="5" t="s">
        <v>29</v>
      </c>
      <c r="L49" s="5" t="s">
        <v>54</v>
      </c>
      <c r="M49" s="5">
        <v>45188</v>
      </c>
      <c r="N49" s="5" t="s">
        <v>64</v>
      </c>
      <c r="O49" s="5">
        <v>9591</v>
      </c>
      <c r="P49" s="5" t="s">
        <v>65</v>
      </c>
      <c r="Q49" s="5">
        <v>18</v>
      </c>
      <c r="R49" s="5">
        <v>3</v>
      </c>
      <c r="S49" s="5" t="s">
        <v>33</v>
      </c>
      <c r="T49" s="5" t="s">
        <v>75</v>
      </c>
      <c r="U49" s="5" t="s">
        <v>46</v>
      </c>
    </row>
    <row r="50" spans="1:21">
      <c r="A50" s="5">
        <v>5760</v>
      </c>
      <c r="B50" s="5" t="s">
        <v>208</v>
      </c>
      <c r="C50" s="5" t="s">
        <v>22</v>
      </c>
      <c r="D50" s="5">
        <v>59</v>
      </c>
      <c r="E50" s="5" t="s">
        <v>68</v>
      </c>
      <c r="F50" s="5" t="s">
        <v>49</v>
      </c>
      <c r="G50" s="5" t="s">
        <v>40</v>
      </c>
      <c r="H50" s="5" t="s">
        <v>26</v>
      </c>
      <c r="I50" s="5" t="s">
        <v>209</v>
      </c>
      <c r="J50" s="5" t="s">
        <v>210</v>
      </c>
      <c r="K50" s="5" t="s">
        <v>29</v>
      </c>
      <c r="L50" s="5" t="s">
        <v>44</v>
      </c>
      <c r="M50" s="5">
        <v>34927</v>
      </c>
      <c r="N50" s="5" t="s">
        <v>55</v>
      </c>
      <c r="O50" s="5">
        <v>6996</v>
      </c>
      <c r="P50" s="5" t="s">
        <v>65</v>
      </c>
      <c r="Q50" s="5">
        <v>16</v>
      </c>
      <c r="R50" s="5">
        <v>1</v>
      </c>
      <c r="S50" s="5" t="s">
        <v>47</v>
      </c>
      <c r="T50" s="5" t="s">
        <v>34</v>
      </c>
      <c r="U50" s="5" t="s">
        <v>35</v>
      </c>
    </row>
    <row r="51" spans="1:21">
      <c r="A51" s="5">
        <v>5742</v>
      </c>
      <c r="B51" s="5" t="s">
        <v>211</v>
      </c>
      <c r="C51" s="5" t="s">
        <v>22</v>
      </c>
      <c r="D51" s="5">
        <v>27</v>
      </c>
      <c r="E51" s="5" t="s">
        <v>38</v>
      </c>
      <c r="F51" s="5" t="s">
        <v>24</v>
      </c>
      <c r="G51" s="5" t="s">
        <v>50</v>
      </c>
      <c r="H51" s="5" t="s">
        <v>60</v>
      </c>
      <c r="I51" s="5" t="s">
        <v>212</v>
      </c>
      <c r="J51" s="5" t="s">
        <v>213</v>
      </c>
      <c r="K51" s="5" t="s">
        <v>29</v>
      </c>
      <c r="L51" s="5" t="s">
        <v>44</v>
      </c>
      <c r="M51" s="5">
        <v>33183</v>
      </c>
      <c r="N51" s="5" t="s">
        <v>64</v>
      </c>
      <c r="O51" s="5">
        <v>1659</v>
      </c>
      <c r="P51" s="5" t="s">
        <v>46</v>
      </c>
      <c r="Q51" s="5">
        <v>11</v>
      </c>
      <c r="R51" s="5">
        <v>1</v>
      </c>
      <c r="S51" s="5" t="s">
        <v>33</v>
      </c>
      <c r="T51" s="5" t="s">
        <v>66</v>
      </c>
      <c r="U51" s="5"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2658D-A231-4942-91CC-C3B55B94CDB4}">
  <dimension ref="B2:R44"/>
  <sheetViews>
    <sheetView workbookViewId="0">
      <selection activeCell="F8" sqref="F8"/>
    </sheetView>
  </sheetViews>
  <sheetFormatPr defaultRowHeight="14.25"/>
  <cols>
    <col min="1" max="1" width="4.125" customWidth="1"/>
    <col min="2" max="2" width="13.875" bestFit="1" customWidth="1"/>
    <col min="3" max="3" width="18" bestFit="1" customWidth="1"/>
    <col min="4" max="4" width="4.125" customWidth="1"/>
    <col min="5" max="5" width="13.125" style="1" bestFit="1" customWidth="1"/>
    <col min="6" max="6" width="18" style="1" bestFit="1" customWidth="1"/>
    <col min="7" max="7" width="19.25" bestFit="1" customWidth="1"/>
    <col min="8" max="8" width="4.125" customWidth="1"/>
    <col min="9" max="9" width="18" style="1" bestFit="1" customWidth="1"/>
    <col min="10" max="10" width="16.125" style="1" bestFit="1" customWidth="1"/>
    <col min="11" max="11" width="5.125" style="1" bestFit="1" customWidth="1"/>
    <col min="12" max="12" width="11.375" style="1" bestFit="1" customWidth="1"/>
    <col min="14" max="14" width="13.125" style="1" bestFit="1" customWidth="1"/>
    <col min="15" max="15" width="18" style="1" bestFit="1" customWidth="1"/>
    <col min="17" max="17" width="13.125" style="1" bestFit="1" customWidth="1"/>
    <col min="18" max="18" width="29.125" style="1" bestFit="1" customWidth="1"/>
  </cols>
  <sheetData>
    <row r="2" spans="2:18">
      <c r="Q2" s="14" t="s">
        <v>228</v>
      </c>
      <c r="R2" s="14"/>
    </row>
    <row r="4" spans="2:18">
      <c r="I4" s="14" t="s">
        <v>223</v>
      </c>
      <c r="J4" s="14"/>
      <c r="K4" s="14"/>
      <c r="L4" s="14"/>
      <c r="N4" s="14" t="s">
        <v>224</v>
      </c>
      <c r="O4" s="14"/>
      <c r="Q4" s="19" t="s">
        <v>214</v>
      </c>
      <c r="R4" s="20" t="s">
        <v>229</v>
      </c>
    </row>
    <row r="5" spans="2:18" ht="20.25" customHeight="1">
      <c r="B5" s="10" t="s">
        <v>217</v>
      </c>
      <c r="C5" s="10"/>
      <c r="E5" s="14" t="s">
        <v>221</v>
      </c>
      <c r="F5" s="14"/>
      <c r="G5" s="14"/>
      <c r="I5" s="11" t="s">
        <v>216</v>
      </c>
      <c r="J5" s="11" t="s">
        <v>222</v>
      </c>
      <c r="N5" s="19" t="s">
        <v>214</v>
      </c>
      <c r="O5" s="20" t="s">
        <v>216</v>
      </c>
      <c r="Q5" s="21" t="s">
        <v>26</v>
      </c>
      <c r="R5" s="26">
        <v>2.5833333333333335</v>
      </c>
    </row>
    <row r="6" spans="2:18">
      <c r="B6" s="9"/>
      <c r="C6" s="9"/>
      <c r="I6" s="11" t="s">
        <v>214</v>
      </c>
      <c r="J6" s="1" t="s">
        <v>22</v>
      </c>
      <c r="K6" s="1" t="s">
        <v>37</v>
      </c>
      <c r="L6" s="1" t="s">
        <v>215</v>
      </c>
      <c r="N6" s="21" t="s">
        <v>44</v>
      </c>
      <c r="O6" s="22">
        <v>23</v>
      </c>
      <c r="Q6" s="21" t="s">
        <v>41</v>
      </c>
      <c r="R6" s="26">
        <v>3.3</v>
      </c>
    </row>
    <row r="7" spans="2:18">
      <c r="B7" s="6" t="s">
        <v>214</v>
      </c>
      <c r="C7" t="s">
        <v>216</v>
      </c>
      <c r="E7" s="19" t="s">
        <v>214</v>
      </c>
      <c r="F7" s="20" t="s">
        <v>219</v>
      </c>
      <c r="G7" s="20" t="s">
        <v>226</v>
      </c>
      <c r="H7" s="20"/>
      <c r="I7" s="12" t="s">
        <v>23</v>
      </c>
      <c r="J7" s="13">
        <v>6</v>
      </c>
      <c r="K7" s="13">
        <v>3</v>
      </c>
      <c r="L7" s="13">
        <v>9</v>
      </c>
      <c r="N7" s="21" t="s">
        <v>30</v>
      </c>
      <c r="O7" s="22">
        <v>8</v>
      </c>
      <c r="Q7" s="21" t="s">
        <v>81</v>
      </c>
      <c r="R7" s="26">
        <v>2.25</v>
      </c>
    </row>
    <row r="8" spans="2:18">
      <c r="B8" s="7" t="s">
        <v>63</v>
      </c>
      <c r="C8" s="8">
        <v>17</v>
      </c>
      <c r="E8" s="21" t="s">
        <v>121</v>
      </c>
      <c r="F8" s="23">
        <v>167041</v>
      </c>
      <c r="G8" s="23">
        <v>28</v>
      </c>
      <c r="H8" s="23"/>
      <c r="I8" s="12" t="s">
        <v>38</v>
      </c>
      <c r="J8" s="13">
        <v>7</v>
      </c>
      <c r="K8" s="13">
        <v>6</v>
      </c>
      <c r="L8" s="13">
        <v>13</v>
      </c>
      <c r="N8" s="21" t="s">
        <v>54</v>
      </c>
      <c r="O8" s="22">
        <v>19</v>
      </c>
      <c r="Q8" s="21" t="s">
        <v>51</v>
      </c>
      <c r="R8" s="26">
        <v>2.3636363636363638</v>
      </c>
    </row>
    <row r="9" spans="2:18">
      <c r="B9" s="7" t="s">
        <v>29</v>
      </c>
      <c r="C9" s="8">
        <v>20</v>
      </c>
      <c r="E9" s="21" t="s">
        <v>40</v>
      </c>
      <c r="F9" s="23">
        <v>613842</v>
      </c>
      <c r="G9" s="23">
        <v>110</v>
      </c>
      <c r="H9" s="23"/>
      <c r="I9" s="12" t="s">
        <v>59</v>
      </c>
      <c r="J9" s="13">
        <v>5</v>
      </c>
      <c r="K9" s="13">
        <v>7</v>
      </c>
      <c r="L9" s="13">
        <v>12</v>
      </c>
      <c r="N9" s="21" t="s">
        <v>215</v>
      </c>
      <c r="O9" s="22">
        <v>50</v>
      </c>
      <c r="Q9" s="21" t="s">
        <v>60</v>
      </c>
      <c r="R9" s="26">
        <v>2.5555555555555554</v>
      </c>
    </row>
    <row r="10" spans="2:18">
      <c r="B10" s="7" t="s">
        <v>111</v>
      </c>
      <c r="C10" s="8">
        <v>13</v>
      </c>
      <c r="E10" s="21" t="s">
        <v>72</v>
      </c>
      <c r="F10" s="23">
        <v>633594</v>
      </c>
      <c r="G10" s="23">
        <v>104</v>
      </c>
      <c r="H10" s="23"/>
      <c r="I10" s="12" t="s">
        <v>98</v>
      </c>
      <c r="J10" s="13">
        <v>4</v>
      </c>
      <c r="K10" s="13">
        <v>3</v>
      </c>
      <c r="L10" s="13">
        <v>7</v>
      </c>
      <c r="Q10" s="21" t="s">
        <v>215</v>
      </c>
      <c r="R10" s="22">
        <v>2.62</v>
      </c>
    </row>
    <row r="11" spans="2:18">
      <c r="B11" s="7" t="s">
        <v>215</v>
      </c>
      <c r="C11" s="8">
        <v>50</v>
      </c>
      <c r="E11" s="21" t="s">
        <v>50</v>
      </c>
      <c r="F11" s="23">
        <v>959266</v>
      </c>
      <c r="G11" s="23">
        <v>123</v>
      </c>
      <c r="H11" s="23"/>
      <c r="I11" s="12" t="s">
        <v>68</v>
      </c>
      <c r="J11" s="13">
        <v>4</v>
      </c>
      <c r="K11" s="13">
        <v>5</v>
      </c>
      <c r="L11" s="13">
        <v>9</v>
      </c>
    </row>
    <row r="12" spans="2:18">
      <c r="E12" s="21" t="s">
        <v>25</v>
      </c>
      <c r="F12" s="23">
        <v>731170</v>
      </c>
      <c r="G12" s="23">
        <v>122</v>
      </c>
      <c r="H12" s="23"/>
      <c r="I12" s="12" t="s">
        <v>215</v>
      </c>
      <c r="J12" s="13">
        <v>26</v>
      </c>
      <c r="K12" s="13">
        <v>24</v>
      </c>
      <c r="L12" s="13">
        <v>50</v>
      </c>
    </row>
    <row r="13" spans="2:18">
      <c r="E13" s="21" t="s">
        <v>215</v>
      </c>
      <c r="F13" s="22">
        <v>3104913</v>
      </c>
      <c r="G13" s="22">
        <v>487</v>
      </c>
      <c r="H13" s="22"/>
      <c r="Q13" s="1" t="s">
        <v>26</v>
      </c>
      <c r="R13" s="25">
        <f>IFERROR(GETPIVOTDATA("Performance Rating",$Q$4,"Department","Finance"),"0")</f>
        <v>2.5833333333333335</v>
      </c>
    </row>
    <row r="14" spans="2:18">
      <c r="B14" t="s">
        <v>63</v>
      </c>
      <c r="C14">
        <f>IFERROR(GETPIVOTDATA("Full Name",$B$7,"Employment Status","Contract"),"0")</f>
        <v>17</v>
      </c>
      <c r="Q14" s="1" t="s">
        <v>41</v>
      </c>
      <c r="R14" s="25">
        <f>IFERROR(GETPIVOTDATA("Performance Rating",$Q$4,"Department","HR"),"0")</f>
        <v>3.3</v>
      </c>
    </row>
    <row r="15" spans="2:18">
      <c r="B15" t="s">
        <v>29</v>
      </c>
      <c r="C15">
        <f>IFERROR(GETPIVOTDATA("Full Name",$B$7,"Employment Status","Full-Time"),"0")</f>
        <v>20</v>
      </c>
      <c r="Q15" s="1" t="s">
        <v>81</v>
      </c>
      <c r="R15" s="25">
        <f>IFERROR(GETPIVOTDATA("Performance Rating",$Q$4,"Department","IT"),"0")</f>
        <v>2.25</v>
      </c>
    </row>
    <row r="16" spans="2:18">
      <c r="B16" t="s">
        <v>111</v>
      </c>
      <c r="C16">
        <f>IFERROR(GETPIVOTDATA("Full Name",$B$7,"Employment Status","Part-Time"),"0")</f>
        <v>13</v>
      </c>
      <c r="Q16" s="1" t="s">
        <v>51</v>
      </c>
      <c r="R16" s="25">
        <f>IFERROR(GETPIVOTDATA("Performance Rating",$Q$4,"Department","Marketing"),"0")</f>
        <v>2.3636363636363638</v>
      </c>
    </row>
    <row r="17" spans="2:18">
      <c r="B17" t="s">
        <v>218</v>
      </c>
      <c r="C17">
        <f>SUM(C14:C16)</f>
        <v>50</v>
      </c>
      <c r="N17" s="1" t="s">
        <v>44</v>
      </c>
      <c r="O17" s="1">
        <f>IFERROR(GETPIVOTDATA("Full Name",$N$5,"Work Location","Branch Office"),"0")</f>
        <v>23</v>
      </c>
      <c r="Q17" s="1" t="s">
        <v>60</v>
      </c>
      <c r="R17" s="25">
        <f>IFERROR(GETPIVOTDATA("Performance Rating",$Q$4,"Department","Operations"),"0")</f>
        <v>2.5555555555555554</v>
      </c>
    </row>
    <row r="18" spans="2:18">
      <c r="E18" s="1" t="s">
        <v>121</v>
      </c>
      <c r="F18" s="15">
        <f>IFERROR(GETPIVOTDATA("Salary",$E$7,"Job Title","Analyst"),"0")</f>
        <v>167041</v>
      </c>
      <c r="G18" s="15">
        <f>IFERROR(GETPIVOTDATA("Sum of Leave Taken",$E$7,"Job Title","Analyst"),"0")</f>
        <v>28</v>
      </c>
      <c r="I18" s="1" t="s">
        <v>23</v>
      </c>
      <c r="J18" s="1">
        <f>IFERROR(GETPIVOTDATA("Full Name",$I$5,"Age range","18-25"),"0")</f>
        <v>9</v>
      </c>
      <c r="N18" s="1" t="s">
        <v>30</v>
      </c>
      <c r="O18" s="1">
        <f>IFERROR(GETPIVOTDATA("Full Name",$N$5,"Work Location","Head Office"),"0")</f>
        <v>8</v>
      </c>
      <c r="Q18" s="1" t="s">
        <v>218</v>
      </c>
      <c r="R18" s="25">
        <f>AVERAGE(R13:R17)</f>
        <v>2.6105050505050502</v>
      </c>
    </row>
    <row r="19" spans="2:18">
      <c r="B19" s="14" t="s">
        <v>225</v>
      </c>
      <c r="C19" s="14"/>
      <c r="E19" s="1" t="s">
        <v>40</v>
      </c>
      <c r="F19" s="15">
        <f>IFERROR(GETPIVOTDATA("Salary",$E$7,"Job Title","Designer"),"0")</f>
        <v>613842</v>
      </c>
      <c r="G19" s="15">
        <f>IFERROR(GETPIVOTDATA("Sum of Leave Taken",$E$7,"Job Title","Designer"),"0")</f>
        <v>110</v>
      </c>
      <c r="I19" s="1" t="s">
        <v>38</v>
      </c>
      <c r="J19" s="1">
        <f>IFERROR(GETPIVOTDATA("Full Name",$I$5,"Age range","26-35"),"0")</f>
        <v>13</v>
      </c>
      <c r="N19" s="1" t="s">
        <v>54</v>
      </c>
      <c r="O19" s="1">
        <f>IFERROR(GETPIVOTDATA("Full Name",$N$5,"Work Location","Remote"),"0")</f>
        <v>19</v>
      </c>
    </row>
    <row r="20" spans="2:18">
      <c r="B20" s="19" t="s">
        <v>214</v>
      </c>
      <c r="C20" s="20" t="s">
        <v>216</v>
      </c>
      <c r="E20" s="1" t="s">
        <v>72</v>
      </c>
      <c r="F20" s="15">
        <f>IFERROR(GETPIVOTDATA("Salary",$E$7,"Job Title","Developer"),"0")</f>
        <v>633594</v>
      </c>
      <c r="G20" s="15">
        <f>IFERROR(GETPIVOTDATA("Sum of Leave Taken",$E$7,"Job Title","Developer"),"0")</f>
        <v>104</v>
      </c>
      <c r="I20" s="1" t="s">
        <v>59</v>
      </c>
      <c r="J20" s="1">
        <f>IFERROR(GETPIVOTDATA("Full Name",$I$5,"Age range","36-45"),"0")</f>
        <v>12</v>
      </c>
      <c r="N20" s="1" t="s">
        <v>218</v>
      </c>
      <c r="O20" s="1">
        <f>SUM(O17:O19)</f>
        <v>50</v>
      </c>
    </row>
    <row r="21" spans="2:18">
      <c r="B21" s="21" t="s">
        <v>75</v>
      </c>
      <c r="C21" s="22">
        <v>12</v>
      </c>
      <c r="E21" s="1" t="s">
        <v>50</v>
      </c>
      <c r="F21" s="15">
        <f>IFERROR(GETPIVOTDATA("Salary",$E$7,"Job Title","HR Specialist"),"0")</f>
        <v>959266</v>
      </c>
      <c r="G21" s="15">
        <f>IFERROR(GETPIVOTDATA("Sum of Leave Taken",$E$7,"Job Title","HR Specialist"),"0")</f>
        <v>123</v>
      </c>
      <c r="I21" s="1" t="s">
        <v>98</v>
      </c>
      <c r="J21" s="1">
        <f>IFERROR(GETPIVOTDATA("Full Name",$I$5,"Age range","46-55"),"0")</f>
        <v>7</v>
      </c>
    </row>
    <row r="22" spans="2:18">
      <c r="B22" s="21" t="s">
        <v>34</v>
      </c>
      <c r="C22" s="22">
        <v>11</v>
      </c>
      <c r="E22" s="1" t="s">
        <v>25</v>
      </c>
      <c r="F22" s="15">
        <f>IFERROR(GETPIVOTDATA("Salary",$E$7,"Job Title","Manager"),"0")</f>
        <v>731170</v>
      </c>
      <c r="G22" s="15">
        <f>IFERROR(GETPIVOTDATA("Sum of Leave Taken",$E$7,"Job Title","Manager"),"0")</f>
        <v>122</v>
      </c>
      <c r="I22" s="1" t="s">
        <v>68</v>
      </c>
      <c r="J22" s="1">
        <f>IFERROR(GETPIVOTDATA("Full Name",$I$5,"Age range","56 &lt;"),"0")</f>
        <v>9</v>
      </c>
    </row>
    <row r="23" spans="2:18">
      <c r="B23" s="21" t="s">
        <v>96</v>
      </c>
      <c r="C23" s="22">
        <v>7</v>
      </c>
      <c r="E23" s="1" t="s">
        <v>220</v>
      </c>
      <c r="F23" s="15">
        <f>SUM(F18:F22)</f>
        <v>3104913</v>
      </c>
      <c r="G23" s="24">
        <f>SUM(G18:G22)</f>
        <v>487</v>
      </c>
      <c r="I23" s="1" t="s">
        <v>220</v>
      </c>
      <c r="J23" s="1">
        <f>SUM(J18:J22)</f>
        <v>50</v>
      </c>
      <c r="N23" s="16">
        <f>SUM(O17)/SUM($O$17:$O$19)</f>
        <v>0.46</v>
      </c>
      <c r="O23" s="17">
        <f>1-N23</f>
        <v>0.54</v>
      </c>
    </row>
    <row r="24" spans="2:18">
      <c r="B24" s="21" t="s">
        <v>56</v>
      </c>
      <c r="C24" s="22">
        <v>11</v>
      </c>
      <c r="N24" s="16">
        <f>SUM(O18)/SUM($O$17:$O$19)</f>
        <v>0.16</v>
      </c>
      <c r="O24" s="17">
        <f t="shared" ref="O24:O25" si="0">1-N24</f>
        <v>0.84</v>
      </c>
    </row>
    <row r="25" spans="2:18">
      <c r="B25" s="21" t="s">
        <v>66</v>
      </c>
      <c r="C25" s="22">
        <v>9</v>
      </c>
      <c r="E25" s="14" t="s">
        <v>227</v>
      </c>
      <c r="F25" s="14"/>
      <c r="I25" s="1" t="s">
        <v>37</v>
      </c>
      <c r="J25" s="1">
        <f>IFERROR(GETPIVOTDATA("Full Name",$I$5,"Gender","Male"),"0")</f>
        <v>24</v>
      </c>
      <c r="N25" s="16">
        <f>SUM(O19)/SUM($O$17:$O$19)</f>
        <v>0.38</v>
      </c>
      <c r="O25" s="17">
        <f t="shared" si="0"/>
        <v>0.62</v>
      </c>
    </row>
    <row r="26" spans="2:18">
      <c r="B26" s="21" t="s">
        <v>215</v>
      </c>
      <c r="C26" s="22">
        <v>50</v>
      </c>
      <c r="I26" s="1" t="s">
        <v>22</v>
      </c>
      <c r="J26" s="1">
        <f>IFERROR(GETPIVOTDATA("Full Name",$I$5,"Gender","Female"),"0")</f>
        <v>26</v>
      </c>
    </row>
    <row r="27" spans="2:18">
      <c r="B27" s="1"/>
      <c r="C27" s="1"/>
      <c r="E27" s="6" t="s">
        <v>214</v>
      </c>
      <c r="F27" t="s">
        <v>216</v>
      </c>
      <c r="I27" s="1" t="s">
        <v>218</v>
      </c>
      <c r="J27" s="1">
        <f>SUM(J25:J26)</f>
        <v>50</v>
      </c>
    </row>
    <row r="28" spans="2:18">
      <c r="B28" s="1"/>
      <c r="C28" s="1"/>
      <c r="E28" s="7" t="s">
        <v>39</v>
      </c>
      <c r="F28" s="8">
        <v>14</v>
      </c>
      <c r="G28" t="s">
        <v>39</v>
      </c>
      <c r="H28">
        <f>IFERROR(GETPIVOTDATA("Full Name",$E$27,"Region","Central"),"0")</f>
        <v>14</v>
      </c>
    </row>
    <row r="29" spans="2:18">
      <c r="B29" s="1" t="s">
        <v>75</v>
      </c>
      <c r="C29" s="1">
        <f>IFERROR(GETPIVOTDATA("Full Name",$B$20,"Skills","Communication"),"0")</f>
        <v>12</v>
      </c>
      <c r="E29" s="7" t="s">
        <v>24</v>
      </c>
      <c r="F29" s="8">
        <v>10</v>
      </c>
      <c r="G29" t="s">
        <v>24</v>
      </c>
      <c r="H29">
        <f>IFERROR(GETPIVOTDATA("Full Name",$E$27,"Region","East"),"0")</f>
        <v>10</v>
      </c>
      <c r="I29" s="16">
        <f>SUM(J25)/SUM($J$25:$J$26)</f>
        <v>0.48</v>
      </c>
      <c r="J29" s="18">
        <f>1-I29</f>
        <v>0.52</v>
      </c>
    </row>
    <row r="30" spans="2:18">
      <c r="B30" s="1" t="s">
        <v>34</v>
      </c>
      <c r="C30" s="1">
        <f>IFERROR(GETPIVOTDATA("Full Name",$B$20,"Skills","Design"),"0")</f>
        <v>11</v>
      </c>
      <c r="E30" s="7" t="s">
        <v>102</v>
      </c>
      <c r="F30" s="8">
        <v>7</v>
      </c>
      <c r="G30" t="s">
        <v>102</v>
      </c>
      <c r="H30">
        <f>IFERROR(GETPIVOTDATA("Full Name",$E$27,"Region","North"),"0")</f>
        <v>7</v>
      </c>
      <c r="I30" s="16">
        <f>SUM(J26)/SUM($J$25:$J$26)</f>
        <v>0.52</v>
      </c>
      <c r="J30" s="18">
        <f>1-I30</f>
        <v>0.48</v>
      </c>
    </row>
    <row r="31" spans="2:18">
      <c r="B31" s="1" t="s">
        <v>96</v>
      </c>
      <c r="C31" s="1">
        <f>IFERROR(GETPIVOTDATA("Full Name",$B$20,"Skills","Excel"),"0")</f>
        <v>7</v>
      </c>
      <c r="E31" s="7" t="s">
        <v>80</v>
      </c>
      <c r="F31" s="8">
        <v>10</v>
      </c>
      <c r="G31" t="s">
        <v>80</v>
      </c>
      <c r="H31">
        <f>IFERROR(GETPIVOTDATA("Full Name",$E$27,"Region","South"),"0")</f>
        <v>10</v>
      </c>
    </row>
    <row r="32" spans="2:18">
      <c r="B32" s="1" t="s">
        <v>56</v>
      </c>
      <c r="C32" s="1">
        <f>IFERROR(GETPIVOTDATA("Full Name",$B$20,"Skills","Management"),"0")</f>
        <v>11</v>
      </c>
      <c r="E32" s="7" t="s">
        <v>49</v>
      </c>
      <c r="F32" s="8">
        <v>9</v>
      </c>
      <c r="G32" t="s">
        <v>49</v>
      </c>
      <c r="H32">
        <f>IFERROR(GETPIVOTDATA("Full Name",$E$27,"Region","West"),"0")</f>
        <v>9</v>
      </c>
    </row>
    <row r="33" spans="2:8">
      <c r="B33" s="1" t="s">
        <v>66</v>
      </c>
      <c r="C33" s="1">
        <f>IFERROR(GETPIVOTDATA("Full Name",$B$20,"Skills","Python"),"0")</f>
        <v>9</v>
      </c>
      <c r="E33" s="7" t="s">
        <v>215</v>
      </c>
      <c r="F33" s="8">
        <v>50</v>
      </c>
      <c r="G33" t="s">
        <v>218</v>
      </c>
      <c r="H33">
        <f>SUM(H28:H32)</f>
        <v>50</v>
      </c>
    </row>
    <row r="34" spans="2:8">
      <c r="B34" s="1" t="s">
        <v>218</v>
      </c>
      <c r="C34" s="1">
        <f>SUM(C29:C33)</f>
        <v>50</v>
      </c>
      <c r="E34"/>
      <c r="F34"/>
    </row>
    <row r="35" spans="2:8">
      <c r="E35"/>
      <c r="F35"/>
    </row>
    <row r="36" spans="2:8">
      <c r="E36"/>
      <c r="F36"/>
    </row>
    <row r="37" spans="2:8">
      <c r="E37"/>
      <c r="F37"/>
    </row>
    <row r="38" spans="2:8">
      <c r="E38"/>
      <c r="F38"/>
    </row>
    <row r="39" spans="2:8">
      <c r="E39"/>
      <c r="F39"/>
    </row>
    <row r="40" spans="2:8">
      <c r="E40"/>
      <c r="F40"/>
    </row>
    <row r="41" spans="2:8">
      <c r="E41"/>
      <c r="F41"/>
    </row>
    <row r="42" spans="2:8">
      <c r="E42"/>
      <c r="F42"/>
    </row>
    <row r="43" spans="2:8">
      <c r="E43"/>
      <c r="F43"/>
    </row>
    <row r="44" spans="2:8">
      <c r="E44"/>
      <c r="F44"/>
    </row>
  </sheetData>
  <mergeCells count="7">
    <mergeCell ref="E25:F25"/>
    <mergeCell ref="Q2:R2"/>
    <mergeCell ref="B5:C5"/>
    <mergeCell ref="I4:L4"/>
    <mergeCell ref="N4:O4"/>
    <mergeCell ref="B19:C19"/>
    <mergeCell ref="E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Doaa H. Dewedar</dc:creator>
  <cp:lastModifiedBy>Doaa H. Dewedar</cp:lastModifiedBy>
  <dcterms:created xsi:type="dcterms:W3CDTF">2026-01-05T15:13:34Z</dcterms:created>
  <dcterms:modified xsi:type="dcterms:W3CDTF">2026-01-06T21:37:23Z</dcterms:modified>
</cp:coreProperties>
</file>